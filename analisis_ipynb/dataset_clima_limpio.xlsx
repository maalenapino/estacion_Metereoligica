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70">
      <text>
        <t xml:space="preserve">La persona que ha respondido ha actualizado este valor.</t>
      </text>
    </comment>
    <comment authorId="0" ref="J70">
      <text>
        <t xml:space="preserve">La persona que ha respondido ha actualizado este valor.</t>
      </text>
    </comment>
    <comment authorId="0" ref="N70">
      <text>
        <t xml:space="preserve">La persona que ha respondido ha actualizado este valor.</t>
      </text>
    </comment>
  </commentList>
</comments>
</file>

<file path=xl/sharedStrings.xml><?xml version="1.0" encoding="utf-8"?>
<sst xmlns="http://schemas.openxmlformats.org/spreadsheetml/2006/main" count="941" uniqueCount="524">
  <si>
    <t>Marca temporal</t>
  </si>
  <si>
    <t>Fecha</t>
  </si>
  <si>
    <t>Localidad</t>
  </si>
  <si>
    <t>E_mail</t>
  </si>
  <si>
    <t>Apellido &amp; Nombre</t>
  </si>
  <si>
    <t>Edad</t>
  </si>
  <si>
    <t xml:space="preserve"> ...Si tuvieras que tomar una decisión importante mañana en la escuela (como hacer un evento o clase al aire libre), ¿Qué dato del clima te daría la seguridad total para decir 'sí, lo hacemos'?"  </t>
  </si>
  <si>
    <t xml:space="preserve"> ...Si tuvieras que tomar una decisión importante mañana en la escuela (como hacer un evento o clase al aire libre), ¿Qué dato del clima te daría la seguridad total para decir 'sí, lo hacemos'?"   2</t>
  </si>
  <si>
    <t>Criterio de Seguridad Climática</t>
  </si>
  <si>
    <t xml:space="preserve">Si lo vemos desde el enfoque de Product Discovery y la IA, la estación no es solo un termómetro, es un "escudo" preventivo.  </t>
  </si>
  <si>
    <t>Prevencion_Info</t>
  </si>
  <si>
    <t>Prevencion_Incertidumbre</t>
  </si>
  <si>
    <t>Prevencion_Ambiental</t>
  </si>
  <si>
    <t xml:space="preserve">¿Qué pensás vos? De los "dolores" que escuchaste en el cole, ¿cuál es el que más te gustaría "curar" con nuestra estación?  </t>
  </si>
  <si>
    <t>Solución de Valor</t>
  </si>
  <si>
    <t>Río Tercero</t>
  </si>
  <si>
    <t>tbardos@escuelasproa.edu.ar</t>
  </si>
  <si>
    <t>Tiziano Javier Bardos</t>
  </si>
  <si>
    <t>un clima templado o sin nubes</t>
  </si>
  <si>
    <t>Alertas y Pronóstico</t>
  </si>
  <si>
    <t>Prevenir la "Parálisis por Exceso de Información" (A veces vemos aplicaciones climáticas con mil números y no entendemos nada)</t>
  </si>
  <si>
    <t>descuido ambiental</t>
  </si>
  <si>
    <t>Dato NO Válido</t>
  </si>
  <si>
    <t>osequeira@escuelasproa.edu.ar</t>
  </si>
  <si>
    <t>Octavio Sequeira</t>
  </si>
  <si>
    <t>quince grados bien frio</t>
  </si>
  <si>
    <t>gdsparacino@escuelasproa.edu.ar</t>
  </si>
  <si>
    <t>Sparacino Gonzalo</t>
  </si>
  <si>
    <t>un clima soleado</t>
  </si>
  <si>
    <t>el resfriado</t>
  </si>
  <si>
    <t>uherrerapescatori@escuelasproa.edu.ar</t>
  </si>
  <si>
    <t>Herrera Ulises</t>
  </si>
  <si>
    <t>si llueve o no, si hace mucho frio u calor.</t>
  </si>
  <si>
    <t>insolacion, dolor de cabeza, resfriado, fiebre</t>
  </si>
  <si>
    <t>epalombarini@escuelasproa.edu.ar</t>
  </si>
  <si>
    <t>Palombarini Emma</t>
  </si>
  <si>
    <t>que no llueva y que no haga frío</t>
  </si>
  <si>
    <t>dolor de panza y de cabeza</t>
  </si>
  <si>
    <t>edelavedova@escuelasproa.edu.ar</t>
  </si>
  <si>
    <t>Delavedova Emilia</t>
  </si>
  <si>
    <t>las precipitaciones y la temperatura</t>
  </si>
  <si>
    <t>golpes de calor e insolaciones</t>
  </si>
  <si>
    <t>ltgonzalez@escuelasproa.edu.ar</t>
  </si>
  <si>
    <t>Lucas Gonzalez</t>
  </si>
  <si>
    <t>temperatura y clima actual, futuro.</t>
  </si>
  <si>
    <t>Prevenir la Incertidumbre (sensación de desprotección), Prevenir la "Parálisis por Exceso de Información" (A veces vemos aplicaciones climáticas con mil números y no entendemos nada)</t>
  </si>
  <si>
    <t>No se que "dolores" hay y no entiendo el termino</t>
  </si>
  <si>
    <t>mscolmenares@escuelasproa.edu.ar</t>
  </si>
  <si>
    <t>Maitena Colmenares</t>
  </si>
  <si>
    <t>clima templado o que no haya sol</t>
  </si>
  <si>
    <t>Prevenir la Incertidumbre (sensación de desprotección)</t>
  </si>
  <si>
    <t xml:space="preserve">no entendi
</t>
  </si>
  <si>
    <t>eromero@escuelasproa.edu.ar</t>
  </si>
  <si>
    <t>Esmeralda Romero</t>
  </si>
  <si>
    <t>soleado o nublado</t>
  </si>
  <si>
    <t>Prevenir el Impacto de la Huella de Carbono Escolar (Alineándonos con lo que trabajan los profes Leo y Alexia de Biología, la estación debería prevenir el descuido ambiental local.</t>
  </si>
  <si>
    <t>insolacion y dolores de pansa</t>
  </si>
  <si>
    <t>aiberra@escuelasproa.edu.ar</t>
  </si>
  <si>
    <t>Axel Del Sol</t>
  </si>
  <si>
    <t>que no haya algun desastre natural</t>
  </si>
  <si>
    <t>Prevenir la Incertidumbre (sensación de desprotección), Prevenir la "Parálisis por Exceso de Información" (A veces vemos aplicaciones climáticas con mil números y no entendemos nada), Prevenir el Impacto de la Huella de Carbono Escolar (Alineándonos con lo que trabajan los profes Leo y Alexia de Biología, la estación debería prevenir el descuido ambiental local.</t>
  </si>
  <si>
    <t>refriasdo</t>
  </si>
  <si>
    <t>afvigna@escuelasproa.edu.ar</t>
  </si>
  <si>
    <t>Antonella Francesca Vigna</t>
  </si>
  <si>
    <t>que no este frio, y que este templado, o nublado</t>
  </si>
  <si>
    <t xml:space="preserve">"El dolor que más me gustaría ‘curar’ es la falta de conciencia sobre el impacto ambiental en la escuela. Creo que una estación con IA podría mostrarnos de forma clara cómo influyen nuestras acciones en el entorno y ayudarnos a cambiar hábitos para cuidar mejor el ambiente."
</t>
  </si>
  <si>
    <t>baguilarcespedes@escuelasproa.edu.ar</t>
  </si>
  <si>
    <t>Brian Aguilar</t>
  </si>
  <si>
    <t>temeratura baja</t>
  </si>
  <si>
    <t>ninguno</t>
  </si>
  <si>
    <t>ferestivo@escuelasproa.edu.ar</t>
  </si>
  <si>
    <t>Restivo Franco</t>
  </si>
  <si>
    <t>calido y con poco viento</t>
  </si>
  <si>
    <t>dolores de cabeza y dolores de panza</t>
  </si>
  <si>
    <t>golpes en ed fisica</t>
  </si>
  <si>
    <t>bbrunobarberon@escuelasproa.edu.ar</t>
  </si>
  <si>
    <t>Benjamìn Bruno Barberon</t>
  </si>
  <si>
    <t xml:space="preserve"> ni frio o calor, o si hace calor que haya viento </t>
  </si>
  <si>
    <t>uno de los "dolores" que mas me gustaria solucionar seria la falta del cuidado de los elementos del laboratorio de informastica, porque aveces uno rompe un monitor o teclado y despues otros 5 chicos se quedan sin teclado o monitor por culpa de esa persona</t>
  </si>
  <si>
    <t>soleado</t>
  </si>
  <si>
    <t>que se rompa una compu, las cortinas y las cosas del laboratorio</t>
  </si>
  <si>
    <t xml:space="preserve">con lluvia, y con frio </t>
  </si>
  <si>
    <t>Que se rompa una computadora</t>
  </si>
  <si>
    <t>mffelici@escuelasproa.edu.ar</t>
  </si>
  <si>
    <t xml:space="preserve">Felici Florencia </t>
  </si>
  <si>
    <t xml:space="preserve">Tormenta eléctrica y vientos </t>
  </si>
  <si>
    <t>dferreyra@escuelasproa.edu.ar</t>
  </si>
  <si>
    <t xml:space="preserve">Dalmiro Ferreyra </t>
  </si>
  <si>
    <t xml:space="preserve">soleado o que no llueva </t>
  </si>
  <si>
    <t>lombardipao.pl@gmail.com</t>
  </si>
  <si>
    <t>Paola Lombardi</t>
  </si>
  <si>
    <t>la temperatura, si va a haber viento y si hay pronóstico de lluvia</t>
  </si>
  <si>
    <t xml:space="preserve">No entiendo la pregunta </t>
  </si>
  <si>
    <t>esgomez@escuelasproa.edu.ar</t>
  </si>
  <si>
    <t xml:space="preserve">Gomez Ema </t>
  </si>
  <si>
    <t xml:space="preserve"> el pronostico</t>
  </si>
  <si>
    <t>yo creo que el “dolor” que más me gustaría curar con nuestra estación es el estrés y la saturación mental, sobre todo en semanas de pruebas o entregas.
es algo que pasa muchísimo en el cole: hay gente cansada, con ansiedad por las notas, que no se puede concentrar bien o que está más irritable o con bajones de ánimo. a veces ni siquiera se habla de eso, pero está presente todo el tiempo.
además, me parece importante porque le afecta a casi todos, no es algo de un grupo en específico. an algún momento todos nos sentimos así, entonces sería una estación que realmente podría ayudar a muchas personas.</t>
  </si>
  <si>
    <t>ebselva@escuelasproa.edu.ar</t>
  </si>
  <si>
    <t xml:space="preserve">Elisa Beatriz Selva              </t>
  </si>
  <si>
    <t>si llueve o si hay sol.</t>
  </si>
  <si>
    <t>mgpino@escuelasproa.edu.ar</t>
  </si>
  <si>
    <t>Malena Pino</t>
  </si>
  <si>
    <t>que no haya humedad y que no haga mas de veinticinco grados</t>
  </si>
  <si>
    <t>el asma</t>
  </si>
  <si>
    <t>alguevarakurozaki@escuelasproa.edu.ar</t>
  </si>
  <si>
    <t>Alejandro Luis Guevara Kurozaki</t>
  </si>
  <si>
    <t>clima soleado</t>
  </si>
  <si>
    <t>Una estacion climatica que pueda responder con mayor antelacion, temperatura del aire y clima general</t>
  </si>
  <si>
    <t>cbarrionuevo@escuelasproa.edu.ar</t>
  </si>
  <si>
    <t>Barrionuevo Candela</t>
  </si>
  <si>
    <t>que no haya casi probabilidad de lluvia, tipo cero grados o muy baja, porque si llueve se arruina todo, después también me fijaría que no haga mucho viento y que la temperatura esté bien, ni mucho frío ni mucho calor.</t>
  </si>
  <si>
    <t>Yo creo que el mayor problema es que muchas veces tienen que cancelar o cambiar actividades a último momento por el clima. Me gustaría que con nuestra estación puedan decidir antes y sin dudas si se hace o no.</t>
  </si>
  <si>
    <t>joaquinlopez@escuelasproa.edu.ar</t>
  </si>
  <si>
    <t>Lopez Joaquin</t>
  </si>
  <si>
    <t>parcialmente nublado sin lluvia, no con tanto calor y poco viento.</t>
  </si>
  <si>
    <t xml:space="preserve">medir el viento, calidad de temperatura si son altas o bajas. </t>
  </si>
  <si>
    <t>mvromero@escuelasproa.edu.ar</t>
  </si>
  <si>
    <t>Romero Marcos</t>
  </si>
  <si>
    <t>las precipitaciones</t>
  </si>
  <si>
    <t>los dias de lluvia por las atividades recreativas</t>
  </si>
  <si>
    <t>doviedo@escuelasproa.edu.ar</t>
  </si>
  <si>
    <t>Dylan Oviedo</t>
  </si>
  <si>
    <t xml:space="preserve">cero porciento de probabilidad de lluvia </t>
  </si>
  <si>
    <t>reformulen la pregunta ♡</t>
  </si>
  <si>
    <t>snvigna@escuelasproa.edu.ar</t>
  </si>
  <si>
    <t>Vigna Santiago</t>
  </si>
  <si>
    <t>Probabilidad de precipitación</t>
  </si>
  <si>
    <t>Prevenir la Incertidumbre (sensación de desprotección), Prevenir el Impacto de la Huella de Carbono Escolar (Alineándonos con lo que trabajan los profes Leo y Alexia de Biología, la estación debería prevenir el descuido ambiental local.</t>
  </si>
  <si>
    <t>gente que viaja en bici en dias de lluvia</t>
  </si>
  <si>
    <t>nauponce@escuelasproa.edu.ar</t>
  </si>
  <si>
    <t>Ponce Uriel</t>
  </si>
  <si>
    <t>Q no llueva</t>
  </si>
  <si>
    <t>reformulen bien las preguntas, Gracias. Igual ns</t>
  </si>
  <si>
    <t>kagontero@escuelasproa.edu.ar</t>
  </si>
  <si>
    <t>Gontero Kyara</t>
  </si>
  <si>
    <t xml:space="preserve">El clima </t>
  </si>
  <si>
    <t>el nivel del polvillo,  el termometro</t>
  </si>
  <si>
    <t>mbcastillo@escuelasproa.edu.ar</t>
  </si>
  <si>
    <t xml:space="preserve">Castillo Mia </t>
  </si>
  <si>
    <t xml:space="preserve">clima </t>
  </si>
  <si>
    <t xml:space="preserve">el asma y que te podes enfermar </t>
  </si>
  <si>
    <t>vcenteno@escuelasproa.edu.ar</t>
  </si>
  <si>
    <t>Centeno Valentino</t>
  </si>
  <si>
    <t>Un clima calido</t>
  </si>
  <si>
    <t>el calor</t>
  </si>
  <si>
    <t>mnmalissiaiberra@escuelasproa.edu.ar</t>
  </si>
  <si>
    <t>Matias Nicolas Malissia Iberra</t>
  </si>
  <si>
    <t>la probabilidad de que llueva</t>
  </si>
  <si>
    <t>sufro el calor</t>
  </si>
  <si>
    <t>tdgomez@escuelasproa.edu.ar</t>
  </si>
  <si>
    <t>Tiago David Gomez</t>
  </si>
  <si>
    <t xml:space="preserve">Que esta soleado y fresco </t>
  </si>
  <si>
    <t>sí, pero no me importa; cada uno se hace cargo de sus dolores por sí mismo</t>
  </si>
  <si>
    <t>cvmoya@escuelasproa.edu.ar</t>
  </si>
  <si>
    <t>Ciro Moya</t>
  </si>
  <si>
    <t>Probabilidad de lluvias y temperaturas</t>
  </si>
  <si>
    <t>¿?</t>
  </si>
  <si>
    <t>gf7.genaro@gmail.com</t>
  </si>
  <si>
    <t>Genaro Fernandez</t>
  </si>
  <si>
    <t>Lluvia</t>
  </si>
  <si>
    <t xml:space="preserve">humedad </t>
  </si>
  <si>
    <t>bmcostamagna@escuelasproa.edu.ar</t>
  </si>
  <si>
    <t xml:space="preserve">Benjamin Costamagna </t>
  </si>
  <si>
    <t xml:space="preserve">si está soleado o lluvioso </t>
  </si>
  <si>
    <t>no se</t>
  </si>
  <si>
    <t>bsmas@escuelasproa.esu.ar</t>
  </si>
  <si>
    <t xml:space="preserve">Benjamin Mas </t>
  </si>
  <si>
    <t>Un día soleado</t>
  </si>
  <si>
    <t xml:space="preserve">me gustaría que no rompan las cosas de la institución </t>
  </si>
  <si>
    <t>ejgomez@escuelasproa.edu.ar</t>
  </si>
  <si>
    <t xml:space="preserve">Elias Javier Gómez </t>
  </si>
  <si>
    <t xml:space="preserve">La app de clima, es muy completa 
</t>
  </si>
  <si>
    <t xml:space="preserve">No entendí </t>
  </si>
  <si>
    <t>jpmarinlescano@escuelasproa.edu.ar</t>
  </si>
  <si>
    <t>Juanpi Marin</t>
  </si>
  <si>
    <t>El porcentaje de lluvia el porcentaje de humedad y la temperatura</t>
  </si>
  <si>
    <t xml:space="preserve">el dolor de cabeza
</t>
  </si>
  <si>
    <t>aansaldi@escuelasproa.edu.ar</t>
  </si>
  <si>
    <t>Aylen Ansaldi</t>
  </si>
  <si>
    <t>Nose</t>
  </si>
  <si>
    <t>jecharry@escuelasproa.edu.ar</t>
  </si>
  <si>
    <t>Jeronimo Echarry</t>
  </si>
  <si>
    <t>Soleado</t>
  </si>
  <si>
    <t>bsmas@escuelasproa.edu.ar</t>
  </si>
  <si>
    <t>Benjamin Mas</t>
  </si>
  <si>
    <t>Un día soleado con un poco de viento fresco</t>
  </si>
  <si>
    <t xml:space="preserve">que halla muchos exámenes difíciles </t>
  </si>
  <si>
    <t>matildepino2012@gmail.com</t>
  </si>
  <si>
    <t>Pino Matilde</t>
  </si>
  <si>
    <t>Asegurarme de que no llueva ni tampoco haga tanto calor.</t>
  </si>
  <si>
    <t>la verdad nada</t>
  </si>
  <si>
    <t>bkolesar@escuelasproa.edu.ar</t>
  </si>
  <si>
    <t>Kolesar Bárbara</t>
  </si>
  <si>
    <t>que non alla alertas meteorológicas</t>
  </si>
  <si>
    <t xml:space="preserve">las alergias,resfrios </t>
  </si>
  <si>
    <t>msbautista@escuelasproa.edu.ar</t>
  </si>
  <si>
    <t>Máximo Bautista</t>
  </si>
  <si>
    <t>ninguna, todos estan en su mundo y solo quieren hacer lo que ellos quieren</t>
  </si>
  <si>
    <t>que no rompan las paredes de la escuela</t>
  </si>
  <si>
    <t>jimaldonado@escuelasproa.edu.ar</t>
  </si>
  <si>
    <t xml:space="preserve">Juan Ignacio Maldonado </t>
  </si>
  <si>
    <t>Y para mi seria q no haya lluvia o mucho frio.</t>
  </si>
  <si>
    <t>podria curarse el problema de la exactitud con el clima q va a hacer o si va a haber humedad o si va a llover con todo o si a ser solo una llovizna.</t>
  </si>
  <si>
    <t>fceballosrivoiro@escuelasproa.edu.ar</t>
  </si>
  <si>
    <t xml:space="preserve">Felipe Ceballos Rivoiro </t>
  </si>
  <si>
    <t>la temperatura y si llueve o no</t>
  </si>
  <si>
    <t>stmachado@escuelasproa.edu.ar</t>
  </si>
  <si>
    <t>Santiago Tomás Machado</t>
  </si>
  <si>
    <t>Temperatura, humedad, sens. térmica, indicador de UV, precipitación y velocidad del viento.</t>
  </si>
  <si>
    <t>las alertas de granizo y precipitación</t>
  </si>
  <si>
    <t>fostermeyerfarias@escuelasproa.edu.ar</t>
  </si>
  <si>
    <t xml:space="preserve">Francina Ostermeyer </t>
  </si>
  <si>
    <t xml:space="preserve">que me llegue una notificación </t>
  </si>
  <si>
    <t>ns la verdad,no entendí bien</t>
  </si>
  <si>
    <t>aserminatti@escuelasproa.edu.ar</t>
  </si>
  <si>
    <t>Serminatti Alejo</t>
  </si>
  <si>
    <t xml:space="preserve">soleado o sin que llueva
</t>
  </si>
  <si>
    <t>calidad de aire y la subida de del rio</t>
  </si>
  <si>
    <t>lmaratin@escuelasproa.edu.ar</t>
  </si>
  <si>
    <t>Marattin Lola</t>
  </si>
  <si>
    <t>soleado sin probabilidad de lluvia.</t>
  </si>
  <si>
    <t>calidad del aire y la creciente del rio.</t>
  </si>
  <si>
    <t>flcentno@escuelasproa.edu.ar</t>
  </si>
  <si>
    <t>Centeno Franco</t>
  </si>
  <si>
    <t xml:space="preserve">Viendo el tiempo en Google 
</t>
  </si>
  <si>
    <t xml:space="preserve">el dolor de cabeza y el infarto </t>
  </si>
  <si>
    <t>gafernandez@escuelasproa.edu.ar</t>
  </si>
  <si>
    <t xml:space="preserve">Guadalupe Fernandez </t>
  </si>
  <si>
    <t xml:space="preserve">Si hay probabilidad de lluvia o no </t>
  </si>
  <si>
    <t xml:space="preserve">No sé </t>
  </si>
  <si>
    <t>srodriguezselva@escuelasproa.edu.ar</t>
  </si>
  <si>
    <t>Santino Rodriguez</t>
  </si>
  <si>
    <t>que haga buen clima</t>
  </si>
  <si>
    <t>me gustaría curar el problema de no saber bien cómo está el clima, porque influye en el día a día. Con la estación meteorológica podríamos entenderlo mejor.</t>
  </si>
  <si>
    <t>slborghi@escuelasproa.edu.ar</t>
  </si>
  <si>
    <t>Sofía Lucrecia Borghi</t>
  </si>
  <si>
    <t xml:space="preserve">Tenuamente nublado </t>
  </si>
  <si>
    <t>Realmente no lo se</t>
  </si>
  <si>
    <t>lengonzalez@escuelasproa.edu.ar</t>
  </si>
  <si>
    <t>Nuñez Liz</t>
  </si>
  <si>
    <t>Que no llueva</t>
  </si>
  <si>
    <t xml:space="preserve">El estrés </t>
  </si>
  <si>
    <t>abrilalmada@escuelasproa.edu.ar</t>
  </si>
  <si>
    <t xml:space="preserve">Almada Abril </t>
  </si>
  <si>
    <t xml:space="preserve">Que no llueva y no está muy frío </t>
  </si>
  <si>
    <t xml:space="preserve">La tensión </t>
  </si>
  <si>
    <t>mgimenez@escuelasproa.edu.ar</t>
  </si>
  <si>
    <t>Milena Gimenez</t>
  </si>
  <si>
    <t>Un clima nublado pero sin lluvia</t>
  </si>
  <si>
    <t>Uno de los dolores es el de garganta o la tensión baja</t>
  </si>
  <si>
    <t>Elías Gómez</t>
  </si>
  <si>
    <t>La app del clima del celular</t>
  </si>
  <si>
    <t>no entendi, yo lo asocio como un problema, eseria el problema de internet, anda lento o no anda</t>
  </si>
  <si>
    <t>amcabral@escuelasproa.edu.ar</t>
  </si>
  <si>
    <t>Cabral Abril</t>
  </si>
  <si>
    <t xml:space="preserve">Que el día esté despejado y sin lluvia </t>
  </si>
  <si>
    <t xml:space="preserve">El dolor de cabeza </t>
  </si>
  <si>
    <t>jgtorres@escuelasproa.edu.ar</t>
  </si>
  <si>
    <t xml:space="preserve"> Jano Gaston Torres</t>
  </si>
  <si>
    <t xml:space="preserve">el clima </t>
  </si>
  <si>
    <t>no se que es eso</t>
  </si>
  <si>
    <t>sblengino@escuelasproa.edu.ar</t>
  </si>
  <si>
    <t>Santino Blengino</t>
  </si>
  <si>
    <t>q hiciera treinta grados</t>
  </si>
  <si>
    <t xml:space="preserve">el otro dia llovio y teniamos educacion fisica y no hicimos nada </t>
  </si>
  <si>
    <t>fmonzon@escuelasproa.edu.ar</t>
  </si>
  <si>
    <t>Facundo Monzon</t>
  </si>
  <si>
    <t xml:space="preserve">el porcentaje de la probabilidad </t>
  </si>
  <si>
    <t>dolores de cabeza</t>
  </si>
  <si>
    <t>pjeancharles@escuelasproa.edu.ar</t>
  </si>
  <si>
    <t xml:space="preserve">Jean Charles Paul </t>
  </si>
  <si>
    <t xml:space="preserve">Que no esté lluvioso el día </t>
  </si>
  <si>
    <t xml:space="preserve">me gustaría curar el dolor de cabeza </t>
  </si>
  <si>
    <t>ademichelisiveli@escuelasproa.edu.ar</t>
  </si>
  <si>
    <t>Amadeo Demichelis Iveli</t>
  </si>
  <si>
    <t>tendría que hacer veinte y cinco grados . principal mente sombra</t>
  </si>
  <si>
    <t xml:space="preserve"> que no podemos jugar al futbol y al vóley y que no plantan arboles para que haya sombra</t>
  </si>
  <si>
    <t>bedurangauna@escuelasproa.edu.ar</t>
  </si>
  <si>
    <t>Bruno Durán</t>
  </si>
  <si>
    <t>Las precipitaciones según el pronóstico</t>
  </si>
  <si>
    <t>No se que responder</t>
  </si>
  <si>
    <t>tmmonteros@escuelasproa.edu.ar</t>
  </si>
  <si>
    <t>Monteros Thiago Maximo</t>
  </si>
  <si>
    <t>que no llueva y que se acabe la humedad.</t>
  </si>
  <si>
    <t>Prevenir la "Parálisis por Exceso de Información" (A veces vemos aplicaciones climáticas con mil números y no entendemos nada), Prevenir el Impacto de la Huella de Carbono Escolar (Alineándonos con lo que trabajan los profes Leo y Alexia de Biología, la estación debería prevenir el descuido ambiental local.</t>
  </si>
  <si>
    <t>Que llueva y que no podemos hacer actividades o que haya tormentas fuertes,que no se puedan ir  algunos chico/chicas y que la humedad no mate plantas y arruine cosas.</t>
  </si>
  <si>
    <t>martinabarrionuevo@escuelasproa.edu.ar</t>
  </si>
  <si>
    <t>Barriouevo Martina</t>
  </si>
  <si>
    <t>soleado sin probabilidad de lluvia</t>
  </si>
  <si>
    <t>calidad del aire y la creciente del rio</t>
  </si>
  <si>
    <t>vmsramos@escuelasproa.edu.ar</t>
  </si>
  <si>
    <t>Ramos Valentina</t>
  </si>
  <si>
    <t>Para estar segura me fijaria si el clima me indica soleado o no, o tambien la probabilidad de que llueva</t>
  </si>
  <si>
    <t>dolor de cabeza</t>
  </si>
  <si>
    <t>lolaperez@escuelasproa.edu.ar</t>
  </si>
  <si>
    <t>Lola Perez</t>
  </si>
  <si>
    <t>Que no este pronosticado lluvia</t>
  </si>
  <si>
    <t>cmvillalba@escuelasproa.edu.ar</t>
  </si>
  <si>
    <t>Candelaria Mayte Villalba</t>
  </si>
  <si>
    <t xml:space="preserve">nublado </t>
  </si>
  <si>
    <t>tener arboles en los patios y al frente...</t>
  </si>
  <si>
    <t>kcbarrionuevo@escuelasproa.edu.ar</t>
  </si>
  <si>
    <t>Barrionuevo Camila</t>
  </si>
  <si>
    <t>Nublado pero sin lluvia</t>
  </si>
  <si>
    <t xml:space="preserve">Dolor de garganta y dolor de cabeza </t>
  </si>
  <si>
    <t>kftorres@escuelasproa.edu.ar</t>
  </si>
  <si>
    <t>Kevin Torres</t>
  </si>
  <si>
    <t>el clima crepúsculo sería la mejor opción para mi</t>
  </si>
  <si>
    <t xml:space="preserve">el estrés y el resfriado </t>
  </si>
  <si>
    <t>ljeancharles@escuelasproa.edu.ar</t>
  </si>
  <si>
    <t>Lourdes Jean Charles</t>
  </si>
  <si>
    <t xml:space="preserve">Nublado, pero con sol sin que allá llovido para poder jugar al futbol. 25 grados. </t>
  </si>
  <si>
    <t>cuando se quejan de que esta lloviendo</t>
  </si>
  <si>
    <t>btorresgalvan@escuelasproa.edu.ar</t>
  </si>
  <si>
    <t>Benicio Torres Galvan</t>
  </si>
  <si>
    <t>soliado y frio</t>
  </si>
  <si>
    <t>no se no se entiende</t>
  </si>
  <si>
    <t>nglopez@escuelasproa.edu.ar</t>
  </si>
  <si>
    <t xml:space="preserve">Lopez Nicolas </t>
  </si>
  <si>
    <t>Saber que no va a llover y que va a ser un dia soleado.</t>
  </si>
  <si>
    <t>Poner arboles para que haya mas sombra.</t>
  </si>
  <si>
    <t>agomez@escuelasproa.edu.ar</t>
  </si>
  <si>
    <t>Antonia Gomez</t>
  </si>
  <si>
    <t>que este nublado sin lluvia</t>
  </si>
  <si>
    <t>No lo se</t>
  </si>
  <si>
    <t>tgomez@escuelasproa.edu.ar</t>
  </si>
  <si>
    <t>Tiziano Gomez</t>
  </si>
  <si>
    <t>la temperatura y la probabilidad</t>
  </si>
  <si>
    <t>nose que poner</t>
  </si>
  <si>
    <t>benjaminmedina@escuelasproa.edu.ar</t>
  </si>
  <si>
    <t>Benjamin Medina</t>
  </si>
  <si>
    <t xml:space="preserve">que haya un dia caluroso y que no llueva y no haya tormenta para mi seria un dia lindo caluroso </t>
  </si>
  <si>
    <t xml:space="preserve">el que me gustaria curar es el dolor de musculos o dolores de cabeza y tambien dolores de cuando te caes o te raspas </t>
  </si>
  <si>
    <t>fgalmada@escuelasproa.edu.ar</t>
  </si>
  <si>
    <t>Francina Almada</t>
  </si>
  <si>
    <t>que no haya lluvia</t>
  </si>
  <si>
    <t xml:space="preserve">el dolor de no poder hacer ed fisica </t>
  </si>
  <si>
    <t>juanmaldonado@escuelasproa.edu.ar</t>
  </si>
  <si>
    <t>Agustin Maldonado</t>
  </si>
  <si>
    <t>que no llueva para  jugar futbol</t>
  </si>
  <si>
    <t xml:space="preserve">que la lluvia no nos deje jugar </t>
  </si>
  <si>
    <t>mmrodriguez@escuelasproa.edu.ar</t>
  </si>
  <si>
    <t>Malena Rodriguez</t>
  </si>
  <si>
    <t>que el clima estuviera templado entre doce y dies y ocho grados  y no tan soleado</t>
  </si>
  <si>
    <t>me canso de escuchar a mis compañeros quejarse de que hace mucho calor y no pueden salir afuera, la solucion para mi es agregar arboles para que nos de sombra, nose como pero agregenlos</t>
  </si>
  <si>
    <t>agrinovero@escuelasproa.edu.ar</t>
  </si>
  <si>
    <t>Grinóvero Amelie</t>
  </si>
  <si>
    <t>Despejado</t>
  </si>
  <si>
    <t>Dolor de cabeza</t>
  </si>
  <si>
    <t>anievas@escuelasproa.edu.ar</t>
  </si>
  <si>
    <t>Nievas Abigail</t>
  </si>
  <si>
    <t>que no haga tanto calor ósea que este templado (22° aproximadamente)</t>
  </si>
  <si>
    <t xml:space="preserve">me gustaría curar el dolor de que cuando tenemos que hacer una actividad al aire libre haga mucho calor/sol y no se pueda realizar </t>
  </si>
  <si>
    <t>carranzapaulina@escuelasproa.edu.ar</t>
  </si>
  <si>
    <t>Carranza Paulina</t>
  </si>
  <si>
    <t>ver el pronostico del día</t>
  </si>
  <si>
    <t>la desforestación,y daño con la huella de carbono</t>
  </si>
  <si>
    <t>clujandellavedova@escuelasproa.edu.ar</t>
  </si>
  <si>
    <t>Clara Lujan</t>
  </si>
  <si>
    <t xml:space="preserve"> Que no llueva o que no haya mal clima</t>
  </si>
  <si>
    <t>tener preparada actividades adentro del colegio por si esta lloviendo</t>
  </si>
  <si>
    <t>cgodoy@escuelasproa.edu.ar</t>
  </si>
  <si>
    <t>Godoy Candela</t>
  </si>
  <si>
    <t>Saber si va a estar soleado y si va a llover.</t>
  </si>
  <si>
    <t>El que mas me gustaria curar es el de la sombra.</t>
  </si>
  <si>
    <t>ijsosa@escuelasproa.edu.ar</t>
  </si>
  <si>
    <t>Ian Sosa</t>
  </si>
  <si>
    <t>que este nublado pero que no llueva</t>
  </si>
  <si>
    <t>que todos se porten bien</t>
  </si>
  <si>
    <t>gcenteno@escuelasproa.edu.ar</t>
  </si>
  <si>
    <t>Centeno Giuliana</t>
  </si>
  <si>
    <t>dies y nueve grados, con sombra y que el día anterior no haya llovido así no hay charcos.</t>
  </si>
  <si>
    <t>me gustaría que curen el problema de la sombra.</t>
  </si>
  <si>
    <t>vgonzalezpuertas@escuelasproa.edu.ar</t>
  </si>
  <si>
    <t>Valentín Gonzalez Puertas</t>
  </si>
  <si>
    <t>El invierno</t>
  </si>
  <si>
    <t>Resbalarse en el recreo, caerse y lastimarte</t>
  </si>
  <si>
    <t>ticianougallo@escuelasproa.edu.ar</t>
  </si>
  <si>
    <t xml:space="preserve">Gallo Ticiano Uriel </t>
  </si>
  <si>
    <t xml:space="preserve">tendria que haber mas sol
</t>
  </si>
  <si>
    <t xml:space="preserve">no llevar la campera un dia yubioso </t>
  </si>
  <si>
    <t>bnsuasnada@escuelasproa.edu.ar</t>
  </si>
  <si>
    <t xml:space="preserve"> Suasnada Brenda Nicole</t>
  </si>
  <si>
    <t xml:space="preserve">me daria mas seguridad que avisen antes que clima va a haber </t>
  </si>
  <si>
    <t>que se quejan mucho del sol y que les duele la cabeza y mi solucion seria agregar gorras yarboles</t>
  </si>
  <si>
    <t>clucero@escuelasproa.edu.ar</t>
  </si>
  <si>
    <t xml:space="preserve"> Lucero Camila</t>
  </si>
  <si>
    <t>para mi elección que no  llueva y que haga un poco de sol</t>
  </si>
  <si>
    <t>para los dolore ay muchas quejas de la sombra</t>
  </si>
  <si>
    <t>sfchamella@escuelasproa.edu.ar</t>
  </si>
  <si>
    <t xml:space="preserve"> Chamella Sofia Victoria</t>
  </si>
  <si>
    <t>si esta nublado o despejado</t>
  </si>
  <si>
    <t>los de garganta</t>
  </si>
  <si>
    <t>tdgiorgetti@escuelasproa.edu.ar</t>
  </si>
  <si>
    <t>Thiago Giorgetti</t>
  </si>
  <si>
    <t>calor</t>
  </si>
  <si>
    <t>mcastanoogiovana@escuelasproa.edu.ar</t>
  </si>
  <si>
    <t xml:space="preserve"> Castaño Martina</t>
  </si>
  <si>
    <t xml:space="preserve">que este fresco </t>
  </si>
  <si>
    <t>que no llueva en educación física</t>
  </si>
  <si>
    <t>aaserminatti@escuelasproa.edu.ar</t>
  </si>
  <si>
    <t>Serminatti Agustin Alejandro</t>
  </si>
  <si>
    <t>veinte y cinco grads y que no haya charcos</t>
  </si>
  <si>
    <t xml:space="preserve">la sombra
</t>
  </si>
  <si>
    <t>dies y ocho GRADOS</t>
  </si>
  <si>
    <t>Cuando te resbalas y te haces mal</t>
  </si>
  <si>
    <t>lmlopezbeaz@escuelasproa.edu.ar</t>
  </si>
  <si>
    <t>Baez Lisandro Lopez</t>
  </si>
  <si>
    <t>un dia, soleado pero sin demasiado calor.</t>
  </si>
  <si>
    <t>yo pienso que podemos evitar lo dolores  con  hablar</t>
  </si>
  <si>
    <t>rcbarrera@escuelasproa.edu.ar</t>
  </si>
  <si>
    <t xml:space="preserve"> Barrera Rocio</t>
  </si>
  <si>
    <t>tendría que aver sombra</t>
  </si>
  <si>
    <t>que dejen jugar voley</t>
  </si>
  <si>
    <t>nnacosta@escuelasproa.edu.ar</t>
  </si>
  <si>
    <t>Acosta Narella Noa</t>
  </si>
  <si>
    <t>saber que no va llover y que este soleado</t>
  </si>
  <si>
    <t>para los dolores ay muchas quejas de que no ay sombra</t>
  </si>
  <si>
    <t>lvprono@escuelasproa.edu.ar</t>
  </si>
  <si>
    <t>Prono Lola</t>
  </si>
  <si>
    <t>el clima del celular</t>
  </si>
  <si>
    <t>la humedad</t>
  </si>
  <si>
    <t>pcsoria@escuelasproa.edu.ar</t>
  </si>
  <si>
    <t>Pilar Soria</t>
  </si>
  <si>
    <t>Verificar que el clima sea adapable (que no llueva)</t>
  </si>
  <si>
    <t>Las precipitaciones</t>
  </si>
  <si>
    <t>vesanchez@escuelasproa.edu.ar</t>
  </si>
  <si>
    <t>Sanchez Victoria Eva</t>
  </si>
  <si>
    <t>Soleado pero fresco</t>
  </si>
  <si>
    <t>Planificar actividades en Educación Física pero que el clima no favorezca</t>
  </si>
  <si>
    <t>jegomez@escuelasproa.edu.ar</t>
  </si>
  <si>
    <t>Gomez Juan</t>
  </si>
  <si>
    <t>si llueve y la cantidad de humedad</t>
  </si>
  <si>
    <t>las inundaciones por la falta de cuidado en los techos o qsy</t>
  </si>
  <si>
    <t>fnrestivo@escuelasproa.edu.ar</t>
  </si>
  <si>
    <t>Restivo Facundo Nahuel</t>
  </si>
  <si>
    <t>un clima calido</t>
  </si>
  <si>
    <t xml:space="preserve">cuidado ambiental
</t>
  </si>
  <si>
    <t>zmsoria@escuelasproa.edu.ar</t>
  </si>
  <si>
    <t>Soria Zoe</t>
  </si>
  <si>
    <t xml:space="preserve">que este lindo el dia osea soleado </t>
  </si>
  <si>
    <t xml:space="preserve">cuidado ambiental </t>
  </si>
  <si>
    <t>sgodoyherrador@escuelasproa.edu.ar</t>
  </si>
  <si>
    <t xml:space="preserve"> Godoy Herrador </t>
  </si>
  <si>
    <t>nublado pero sin llover</t>
  </si>
  <si>
    <t>me gustaría el cuidado ambiental con respecto a la lluvia, sobre todo por la inundación de las calles en la ciudad</t>
  </si>
  <si>
    <t>mvgomez@escuelasproa.edu.ar</t>
  </si>
  <si>
    <t>Gomez Mia</t>
  </si>
  <si>
    <t xml:space="preserve">para mi el cuidado ambiental y que no se indunden las calles 
</t>
  </si>
  <si>
    <t xml:space="preserve"> Adhemar Aguilar Cespedes Brian</t>
  </si>
  <si>
    <t>lluvia</t>
  </si>
  <si>
    <t>pienso que son realmente interesantes y muy importantes de tomar en cuenta al momento de satisfacer las necesidades y comodidades de los estudiantes de la escuela, me gustaria saber si va a haber si la suficinte lluvia como para llevar el paraguas o ir en auto o ir en bici o ir en moto o ir en tren o en colectivo o en submarino por si se inunda todo</t>
  </si>
  <si>
    <t>lbgodoy@escuelasproa.edu.ar</t>
  </si>
  <si>
    <t xml:space="preserve"> Godoy Leonel</t>
  </si>
  <si>
    <t>Si la probabilidad de lluvia es cero porciento (o muy baja), se puede hacer la actividad al aire libre con confianza.</t>
  </si>
  <si>
    <t>El problema principal es que hay demasiada información del clima y no se entiende, entonces la estación tiene que dar una respuesta simple y clara.</t>
  </si>
  <si>
    <t>regomez@escuelasproa.edu.ar</t>
  </si>
  <si>
    <t xml:space="preserve"> Gomez Ramiro</t>
  </si>
  <si>
    <t>nublado</t>
  </si>
  <si>
    <t>joaquingonzalez@escuelasproa.edu.ar</t>
  </si>
  <si>
    <t>Gonzalez Joaquín</t>
  </si>
  <si>
    <t>si el clima es favorable, realizar una actividad afuera</t>
  </si>
  <si>
    <t xml:space="preserve">buscar una manera de resolver el problema de con los que se mojan con la lluvia </t>
  </si>
  <si>
    <t>lmarinlescano@escuelasproa.edu.ar</t>
  </si>
  <si>
    <t>Marin Lescano Lucas</t>
  </si>
  <si>
    <t>si esta pronosticado lluvia granizo o algo así</t>
  </si>
  <si>
    <t>el problema de talvez que sea mas probable el tema de la lluvia y esas cosas.</t>
  </si>
  <si>
    <t>mmgimenez@escuelasproa.edu.ar</t>
  </si>
  <si>
    <t>Gimenez Micael</t>
  </si>
  <si>
    <t>Si llueve o va a llover, la temperatura, humedad y el polen</t>
  </si>
  <si>
    <t>Arreglar los aires o por ejemplo los árboles en el patio por la sombre en los días calurosos</t>
  </si>
  <si>
    <t>jjgonzalez@escuelasproa.edu.ar</t>
  </si>
  <si>
    <t>Gonzalez Jonathan</t>
  </si>
  <si>
    <t xml:space="preserve">contaminacion del aire </t>
  </si>
  <si>
    <t>lenunez@escuelasproa.edu.ar</t>
  </si>
  <si>
    <t>Leandro Nuñez</t>
  </si>
  <si>
    <t xml:space="preserve">Miro el pronóstico alargado del día , la temperatura actual y probabilidad de precipitación </t>
  </si>
  <si>
    <t xml:space="preserve">Exactitud de la temperatura y precipitaciones </t>
  </si>
  <si>
    <t>maygomez@escuelasproa.edu.ar</t>
  </si>
  <si>
    <t xml:space="preserve">Malena Gomez </t>
  </si>
  <si>
    <t xml:space="preserve">Si no va a llover, si el sol no va a pegar tanto, o si no va a estar muy frío </t>
  </si>
  <si>
    <t xml:space="preserve">Recomendación de ropa para el dia </t>
  </si>
  <si>
    <t>kdurangauna@escuelasproa.edu.ar</t>
  </si>
  <si>
    <t>Durán Gauna Kiara Guadalupe</t>
  </si>
  <si>
    <t>La temperatura, y si va a llover o no.</t>
  </si>
  <si>
    <t>La info que nos gustaría que la estación cure sería que nos de recomendaciones sobre la ropa.</t>
  </si>
  <si>
    <t>giannajazcolme@gmail.com</t>
  </si>
  <si>
    <t>Colmenares Gianna</t>
  </si>
  <si>
    <t xml:space="preserve">Exactitud de la lluvia </t>
  </si>
  <si>
    <t xml:space="preserve">Recomendacion de como salir vestido </t>
  </si>
  <si>
    <t xml:space="preserve">saber cómo estaría el clima durante el evento realizado. si hay ningún extremo tanto como calor, frío o lluvia se haría sin problema </t>
  </si>
  <si>
    <t>que te informe la vestimenta ideal para el día (buzo, bermuda, pantalón largo), si durante los días próximos va haber humedad.</t>
  </si>
  <si>
    <t>liquinterobarco@escuelasproa.edu.ar</t>
  </si>
  <si>
    <t>Quintero Isabella</t>
  </si>
  <si>
    <t xml:space="preserve">Me fijaría en sí va a llover o va a estar muy fuerte el sol. </t>
  </si>
  <si>
    <t xml:space="preserve">Me gustaría que la estación meteorológica me diera la información necesaria para saber que ropa es la ideal para el día. </t>
  </si>
  <si>
    <t>taeden@escuelasproa.edu.ar</t>
  </si>
  <si>
    <t>Tomás Agustín Edén</t>
  </si>
  <si>
    <t>La precipitación, y un mini mapa de las tormentas en el área/zona</t>
  </si>
  <si>
    <t>Me gustaría saber como estaría para saber como estar vestido, si el clima está para manga larga, campera, etc</t>
  </si>
  <si>
    <t xml:space="preserve">el porcentaje de humedad, la probabilidad de lluvia y si está soleado o nublado </t>
  </si>
  <si>
    <t>q muestre la temperatura a lo largo del día para saber con q ropa venir al colegio</t>
  </si>
  <si>
    <t>bgcabral@escuelasproa.edu.ar</t>
  </si>
  <si>
    <t>Bruno Cabral</t>
  </si>
  <si>
    <t xml:space="preserve">que sea muy preciso o por lo menos que la mayoría de las veces acerté </t>
  </si>
  <si>
    <t>que avise si llueve mucho para que no se pasen de agua las plantas, o para sacar la ropa de la soga.</t>
  </si>
  <si>
    <t>ajtoroguillen@escuelasproa.edu.ar</t>
  </si>
  <si>
    <t xml:space="preserve"> Toro Guillén Abdiel Josué</t>
  </si>
  <si>
    <t>Que haya un día soleado y templado</t>
  </si>
  <si>
    <t>Que me informe así puedo saber que vestimenta puedo usar (si hace frío buzo por ejemplo)</t>
  </si>
  <si>
    <t>fllanos@escuelasproa.edu.ar</t>
  </si>
  <si>
    <t xml:space="preserve"> Llanos Fernanda</t>
  </si>
  <si>
    <t>Las probabilidades de lluvia y la temperatura esperada para esa hs</t>
  </si>
  <si>
    <t xml:space="preserve">Clima en horarios clave como entrada y salida, para viajes escolares, para tomar precauciones cuando los profes planificamos jornadas por ejemplo del día del estudiante </t>
  </si>
  <si>
    <t>Sin probabilidad de lluvia</t>
  </si>
  <si>
    <t xml:space="preserve">Q me informe la vestimenta ideal para el día.
Avisar si hay mucha humedad
</t>
  </si>
  <si>
    <t>gagaillarraga@gmail.com</t>
  </si>
  <si>
    <t xml:space="preserve">Gael illarraga </t>
  </si>
  <si>
    <t>El pronóstico  de lluvia</t>
  </si>
  <si>
    <t>No se</t>
  </si>
  <si>
    <t>galloticiano204@gmail.com</t>
  </si>
  <si>
    <t>Ticiano gallo</t>
  </si>
  <si>
    <t xml:space="preserve">Qe este soleado 
</t>
  </si>
  <si>
    <t xml:space="preserve">Qe venga en bisi y qe este frío meses en la cara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</si>
</sst>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d/MM/yyyy"/>
  </numFmts>
  <fonts count="6">
    <font>
      <sz val="10.0"/>
      <color rgb="FF000000"/>
      <name val="Arial"/>
      <scheme val="minor"/>
    </font>
    <font>
      <color theme="1"/>
      <name val="Arial"/>
      <scheme val="minor"/>
    </font>
    <font>
      <b/>
      <color theme="1"/>
      <name val="Arial"/>
      <scheme val="minor"/>
    </font>
    <font>
      <b/>
      <color theme="1"/>
      <name val="Arial"/>
    </font>
    <font>
      <b/>
      <sz val="11.0"/>
      <color rgb="FFFFFFFF"/>
      <name val="'Roboto Mono'"/>
    </font>
    <font>
      <sz val="12.0"/>
      <color rgb="FF434343"/>
      <name val="Comfortaa"/>
    </font>
  </fonts>
  <fills count="4">
    <fill>
      <patternFill patternType="none"/>
    </fill>
    <fill>
      <patternFill patternType="lightGray"/>
    </fill>
    <fill>
      <patternFill patternType="solid">
        <fgColor rgb="FFFF9900"/>
        <bgColor rgb="FFFF9900"/>
      </patternFill>
    </fill>
    <fill>
      <patternFill patternType="solid">
        <fgColor rgb="FF38761D"/>
        <bgColor rgb="FF38761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2" fontId="2" numFmtId="0" xfId="0" applyAlignment="1" applyFill="1" applyFont="1">
      <alignment horizontal="center" readingOrder="0" shrinkToFit="0" vertical="center" wrapText="1"/>
    </xf>
    <xf borderId="0" fillId="3" fontId="1" numFmtId="0" xfId="0" applyAlignment="1" applyFill="1" applyFont="1">
      <alignment horizontal="center" readingOrder="0" shrinkToFit="0" vertical="center" wrapText="1"/>
    </xf>
    <xf borderId="0" fillId="0" fontId="3"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3" fontId="2"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1" numFmtId="164" xfId="0" applyAlignment="1" applyFont="1" applyNumberFormat="1">
      <alignment readingOrder="0" shrinkToFit="0" vertical="center" wrapText="0"/>
    </xf>
    <xf borderId="0" fillId="0" fontId="2" numFmtId="165" xfId="0" applyAlignment="1" applyFont="1" applyNumberFormat="1">
      <alignment horizontal="center" readingOrder="0" shrinkToFit="0" vertical="center" wrapText="1"/>
    </xf>
    <xf borderId="0" fillId="0" fontId="2" numFmtId="0" xfId="0" applyAlignment="1" applyFont="1">
      <alignment readingOrder="0" shrinkToFit="0" vertical="center" wrapText="0"/>
    </xf>
    <xf borderId="0" fillId="0" fontId="2" numFmtId="0" xfId="0" applyAlignment="1" applyFont="1">
      <alignment horizontal="left" readingOrder="0" shrinkToFit="0" vertical="top" wrapText="1"/>
    </xf>
    <xf borderId="0" fillId="0" fontId="2" numFmtId="0" xfId="0" applyAlignment="1" applyFont="1">
      <alignment horizontal="center" readingOrder="0" shrinkToFit="0" vertical="center" wrapText="1"/>
    </xf>
    <xf borderId="0" fillId="0" fontId="1" numFmtId="0" xfId="0" applyAlignment="1" applyFont="1">
      <alignment readingOrder="0" shrinkToFit="0" vertical="center" wrapText="0"/>
    </xf>
    <xf borderId="0" fillId="0" fontId="5" numFmtId="0" xfId="0" applyAlignment="1" applyFont="1">
      <alignment horizontal="left" shrinkToFit="0" vertical="top" wrapText="1"/>
    </xf>
    <xf borderId="0" fillId="0" fontId="3" numFmtId="0" xfId="0" applyAlignment="1" applyFont="1">
      <alignment shrinkToFit="0" vertical="center" wrapText="1"/>
    </xf>
    <xf borderId="0" fillId="0" fontId="2" numFmtId="0" xfId="0" applyAlignment="1" applyFont="1">
      <alignment horizontal="center" shrinkToFit="0" vertical="center" wrapText="1"/>
    </xf>
    <xf borderId="1" fillId="0" fontId="2" numFmtId="0" xfId="0" applyAlignment="1" applyBorder="1" applyFont="1">
      <alignment horizontal="center" readingOrder="0" shrinkToFit="0" vertical="center" wrapText="1"/>
    </xf>
    <xf borderId="0" fillId="0" fontId="1" numFmtId="164" xfId="0" applyAlignment="1" applyFont="1" applyNumberFormat="1">
      <alignment readingOrder="0" shrinkToFit="0" vertical="center" wrapText="0"/>
    </xf>
    <xf borderId="0" fillId="0" fontId="2" numFmtId="0" xfId="0" applyAlignment="1" applyFont="1">
      <alignment horizontal="left" readingOrder="0" shrinkToFit="0" vertical="top" wrapText="1"/>
    </xf>
    <xf borderId="0" fillId="0" fontId="2" numFmtId="0" xfId="0" applyAlignment="1" applyFont="1">
      <alignment horizontal="center" readingOrder="0" shrinkToFit="0" vertical="center" wrapText="1"/>
    </xf>
    <xf borderId="0" fillId="0" fontId="1" numFmtId="0" xfId="0" applyAlignment="1" applyFont="1">
      <alignment readingOrder="0" shrinkToFit="0" vertical="center" wrapText="0"/>
    </xf>
    <xf borderId="0" fillId="0" fontId="1" numFmtId="0" xfId="0" applyAlignment="1" applyFont="1">
      <alignment horizontal="left" shrinkToFit="0" vertical="top" wrapText="1"/>
    </xf>
    <xf borderId="0" fillId="0" fontId="2" numFmtId="0" xfId="0" applyFont="1"/>
    <xf borderId="0" fillId="0" fontId="2" numFmtId="0" xfId="0" applyAlignment="1" applyFont="1">
      <alignment horizontal="left" shrinkToFit="0" vertical="top" wrapText="1"/>
    </xf>
    <xf borderId="0" fillId="0" fontId="2" numFmtId="0" xfId="0" applyAlignment="1" applyFont="1">
      <alignment horizontal="center" shrinkToFit="0" vertical="center" wrapText="1"/>
    </xf>
    <xf borderId="0" fillId="0" fontId="3" numFmtId="0" xfId="0" applyAlignment="1" applyFont="1">
      <alignment shrinkToFit="0" wrapText="1"/>
    </xf>
  </cellXfs>
  <cellStyles count="1">
    <cellStyle xfId="0" name="Normal" builtinId="0"/>
  </cellStyles>
  <dxfs count="6">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rgb="FFB7E1CD"/>
          <bgColor rgb="FFB7E1CD"/>
        </patternFill>
      </fill>
      <border/>
    </dxf>
  </dxfs>
  <tableStyles count="1">
    <tableStyle count="4" pivot="0" name="Respuesta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O133" displayName="DataSet" name="DataSet" id="1">
  <tableColumns count="15">
    <tableColumn name="Marca temporal" id="1"/>
    <tableColumn name="Fecha" id="2"/>
    <tableColumn name="Localidad" id="3"/>
    <tableColumn name="E_mail" id="4"/>
    <tableColumn name="Apellido &amp; Nombre" id="5"/>
    <tableColumn name="Edad" id="6"/>
    <tableColumn name=" ...Si tuvieras que tomar una decisión importante mañana en la escuela (como hacer un evento o clase al aire libre), ¿Qué dato del clima te daría la seguridad total para decir 'sí, lo hacemos'?&quot;  " id="7"/>
    <tableColumn name=" ...Si tuvieras que tomar una decisión importante mañana en la escuela (como hacer un evento o clase al aire libre), ¿Qué dato del clima te daría la seguridad total para decir 'sí, lo hacemos'?&quot;   2" id="8"/>
    <tableColumn name="Criterio de Seguridad Climática" id="9"/>
    <tableColumn name="Si lo vemos desde el enfoque de Product Discovery y la IA, la estación no es solo un termómetro, es un &quot;escudo&quot; preventivo.  " id="10"/>
    <tableColumn name="Prevencion_Info" id="11"/>
    <tableColumn name="Prevencion_Incertidumbre" id="12"/>
    <tableColumn name="Prevencion_Ambiental" id="13"/>
    <tableColumn name="¿Qué pensás vos? De los &quot;dolores&quot; que escuchaste en el cole, ¿cuál es el que más te gustaría &quot;curar&quot; con nuestra estación?  " id="14"/>
    <tableColumn name="Solución de Valor" id="15"/>
  </tableColumns>
  <tableStyleInfo name="Respuesta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1" width="18.88"/>
    <col customWidth="1" min="2" max="2" width="14.0"/>
    <col customWidth="1" min="3" max="3" width="13.0"/>
    <col customWidth="1" min="4" max="4" width="32.75"/>
    <col customWidth="1" min="5" max="5" width="21.38"/>
    <col customWidth="1" min="6" max="6" width="10.63"/>
    <col customWidth="1" hidden="1" min="7" max="7" width="37.63"/>
    <col customWidth="1" hidden="1" min="8" max="8" width="42.25"/>
    <col customWidth="1" min="9" max="9" width="24.75"/>
    <col customWidth="1" hidden="1" min="10" max="10" width="79.75"/>
    <col customWidth="1" min="11" max="11" width="21.88"/>
    <col customWidth="1" min="12" max="12" width="32.38"/>
    <col customWidth="1" min="13" max="13" width="28.13"/>
    <col customWidth="1" hidden="1" min="14" max="14" width="37.63"/>
    <col customWidth="1" min="15" max="15" width="20.5"/>
    <col customWidth="1" min="16" max="20" width="18.88"/>
  </cols>
  <sheetData>
    <row r="1" ht="22.5" customHeight="1">
      <c r="A1" s="1" t="s">
        <v>0</v>
      </c>
      <c r="B1" s="2" t="s">
        <v>1</v>
      </c>
      <c r="C1" s="3" t="s">
        <v>2</v>
      </c>
      <c r="D1" s="3" t="s">
        <v>3</v>
      </c>
      <c r="E1" s="3" t="s">
        <v>4</v>
      </c>
      <c r="F1" s="3" t="s">
        <v>5</v>
      </c>
      <c r="G1" s="4" t="s">
        <v>6</v>
      </c>
      <c r="H1" s="4" t="s">
        <v>7</v>
      </c>
      <c r="I1" s="5" t="s">
        <v>8</v>
      </c>
      <c r="J1" s="4" t="s">
        <v>9</v>
      </c>
      <c r="K1" s="6" t="s">
        <v>10</v>
      </c>
      <c r="L1" s="7" t="s">
        <v>11</v>
      </c>
      <c r="M1" s="7" t="s">
        <v>12</v>
      </c>
      <c r="N1" s="4" t="s">
        <v>13</v>
      </c>
      <c r="O1" s="8" t="s">
        <v>14</v>
      </c>
      <c r="P1" s="9"/>
      <c r="Q1" s="9"/>
      <c r="R1" s="9"/>
      <c r="S1" s="9"/>
      <c r="T1" s="9"/>
    </row>
    <row r="2" ht="22.5" customHeight="1">
      <c r="A2" s="10">
        <v>46125.55009741898</v>
      </c>
      <c r="B2" s="11">
        <f t="shared" ref="B2:B133" si="1">INT(A2)</f>
        <v>46125</v>
      </c>
      <c r="C2" s="12" t="s">
        <v>15</v>
      </c>
      <c r="D2" s="13" t="s">
        <v>16</v>
      </c>
      <c r="E2" s="13" t="s">
        <v>17</v>
      </c>
      <c r="F2" s="14">
        <v>14.0</v>
      </c>
      <c r="G2" s="15" t="s">
        <v>18</v>
      </c>
      <c r="H2" s="16" t="str">
        <f t="shared" ref="H2:H133" si="2">LOWER(G2)</f>
        <v>un clima templado o sin nubes</v>
      </c>
      <c r="I2" s="17" t="s">
        <v>19</v>
      </c>
      <c r="J2" s="15" t="s">
        <v>20</v>
      </c>
      <c r="K2" s="18" t="str">
        <f t="shared" ref="K2:K133" si="3">IF(ISNUMBER(SEARCH("Parálisis", J2)), "Sí", "No")</f>
        <v>Sí</v>
      </c>
      <c r="L2" s="18" t="str">
        <f t="shared" ref="L2:L133" si="4">IF(ISNUMBER(SEARCH("Incertidumbre", J2)), "Sí", "No")</f>
        <v>No</v>
      </c>
      <c r="M2" s="18" t="str">
        <f t="shared" ref="M2:M133" si="5">IF(ISNUMBER(SEARCH("Carbono", J2)), "Sí", "No")</f>
        <v>No</v>
      </c>
      <c r="N2" s="15" t="s">
        <v>21</v>
      </c>
      <c r="O2" s="14" t="s">
        <v>22</v>
      </c>
    </row>
    <row r="3" ht="22.5" customHeight="1">
      <c r="A3" s="10">
        <v>46125.55125418981</v>
      </c>
      <c r="B3" s="11">
        <f t="shared" si="1"/>
        <v>46125</v>
      </c>
      <c r="C3" s="12" t="s">
        <v>15</v>
      </c>
      <c r="D3" s="13" t="s">
        <v>23</v>
      </c>
      <c r="E3" s="13" t="s">
        <v>24</v>
      </c>
      <c r="F3" s="14">
        <v>14.0</v>
      </c>
      <c r="G3" s="15" t="s">
        <v>25</v>
      </c>
      <c r="H3" s="16" t="str">
        <f t="shared" si="2"/>
        <v>quince grados bien frio</v>
      </c>
      <c r="I3" s="17" t="str">
        <f t="shared" ref="I3:I5" si="6">IF(ISNUMBER(SEARCH("lluvi", H3)), "Precipitaciones", IF(ISNUMBER(SEARCH("precipitaci", H3)), "Precipitaciones", IF(ISNUMBER(SEARCH("grad", H3)), "Temperatura", IF(ISNUMBER(SEARCH("frio", H3)), "Temperatura", IF(ISNUMBER(SEARCH("calor", H3)), "Temperatura", IF(ISNUMBER(SEARCH("sol", H3)), "Estado del Cielo", IF(ISNUMBER(SEARCH("nubla", H3)), "Estado del Cielo", IF(ISNUMBER(SEARCH("vient", H3)), "Viento y Humedad", IF(ISNUMBER(SEARCH("humed", H3)), "Viento y Humedad", "Otros")))))))))</f>
        <v>Temperatura</v>
      </c>
      <c r="J3" s="15" t="s">
        <v>20</v>
      </c>
      <c r="K3" s="18" t="str">
        <f t="shared" si="3"/>
        <v>Sí</v>
      </c>
      <c r="L3" s="18" t="str">
        <f t="shared" si="4"/>
        <v>No</v>
      </c>
      <c r="M3" s="18" t="str">
        <f t="shared" si="5"/>
        <v>No</v>
      </c>
      <c r="N3" s="15" t="s">
        <v>21</v>
      </c>
      <c r="O3" s="14" t="str">
        <f>IF(ISNUMBER(SEARCH("dolor", N3)), "Salud y Bienestar", IF(ISNUMBER(SEARCH("resfria", N3)), "Salud y Bienestar", IF(ISNUMBER(SEARCH("insola", N3)), "Salud y Bienestar", IF(ISNUMBER(SEARCH("fisica", N3)), "Planificación Escolar", IF(ISNUMBER(SEARCH("futbol", N3)), "Planificación Escolar", IF(ISNUMBER(SEARCH("voley", N3)), "Planificación Escolar", IF(ISNUMBER(SEARCH("recreo", H3)), "Planificación Escolar", IF(ISNUMBER(SEARCH("sombra", H3)), "Gestión de Recursos", IF(ISNUMBER(SEARCH("arbol", H3)), "Gestión de Recursos", IF(ISNUMBER(SEARCH("compu", H3)), "Gestión de Recursos", IF(ISNUMBER(SEARCH("vestimenta", H3)), "Logística y Vestimenta", IF(ISNUMBER(SEARCH("ropa", H3)), "Logística y Vestimenta", IF(ISNUMBER(SEARCH("ambient", H3)), "Conciencia Ambiental", IF(ISNUMBER(SEARCH("carbono", H3)), "Conciencia Ambiental", "Dato NO Válido"))))))))))))))</f>
        <v>Dato NO Válido</v>
      </c>
    </row>
    <row r="4" ht="22.5" customHeight="1">
      <c r="A4" s="10">
        <v>46125.55171555556</v>
      </c>
      <c r="B4" s="11">
        <f t="shared" si="1"/>
        <v>46125</v>
      </c>
      <c r="C4" s="12" t="s">
        <v>15</v>
      </c>
      <c r="D4" s="13" t="s">
        <v>26</v>
      </c>
      <c r="E4" s="13" t="s">
        <v>27</v>
      </c>
      <c r="F4" s="14">
        <v>14.0</v>
      </c>
      <c r="G4" s="15" t="s">
        <v>28</v>
      </c>
      <c r="H4" s="16" t="str">
        <f t="shared" si="2"/>
        <v>un clima soleado</v>
      </c>
      <c r="I4" s="17" t="str">
        <f t="shared" si="6"/>
        <v>Estado del Cielo</v>
      </c>
      <c r="J4" s="15" t="s">
        <v>20</v>
      </c>
      <c r="K4" s="18" t="str">
        <f t="shared" si="3"/>
        <v>Sí</v>
      </c>
      <c r="L4" s="18" t="str">
        <f t="shared" si="4"/>
        <v>No</v>
      </c>
      <c r="M4" s="18" t="str">
        <f t="shared" si="5"/>
        <v>No</v>
      </c>
      <c r="N4" s="15" t="s">
        <v>29</v>
      </c>
      <c r="O4" s="14" t="str">
        <f t="shared" ref="O4:O8" si="7">IF(ISNUMBER(SEARCH("dolor", N4)), "Salud y Bienestar", IF(ISNUMBER(SEARCH("resfria", N4)), "Salud y Bienestar", IF(ISNUMBER(SEARCH("insola", N4)), "Salud y Bienestar", IF(ISNUMBER(SEARCH("fisica", N4)), "Planificación Escolar", IF(ISNUMBER(SEARCH("futbol", N4)), "Planificación Escolar", IF(ISNUMBER(SEARCH("voley", N4)), "Planificación Escolar", IF(ISNUMBER(SEARCH("recreo", H4)), "Planificación Escolar", IF(ISNUMBER(SEARCH("sombra", H4)), "Gestión de Recursos", IF(ISNUMBER(SEARCH("arbol", H4)), "Gestión de Recursos", IF(ISNUMBER(SEARCH("compu", H4)), "Gestión de Recursos", IF(ISNUMBER(SEARCH("vestimenta", H4)), "Logística y Vestimenta", IF(ISNUMBER(SEARCH("ropa", H4)), "Logística y Vestimenta", IF(ISNUMBER(SEARCH("ambient", H4)), "Conciencia Ambiental", IF(ISNUMBER(SEARCH("carbono", H4)), "Conciencia Ambiental", "Otros"))))))))))))))</f>
        <v>Salud y Bienestar</v>
      </c>
    </row>
    <row r="5" ht="22.5" customHeight="1">
      <c r="A5" s="10">
        <v>46125.55173107639</v>
      </c>
      <c r="B5" s="11">
        <f t="shared" si="1"/>
        <v>46125</v>
      </c>
      <c r="C5" s="12" t="s">
        <v>15</v>
      </c>
      <c r="D5" s="13" t="s">
        <v>30</v>
      </c>
      <c r="E5" s="13" t="s">
        <v>31</v>
      </c>
      <c r="F5" s="14">
        <v>14.0</v>
      </c>
      <c r="G5" s="15" t="s">
        <v>32</v>
      </c>
      <c r="H5" s="16" t="str">
        <f t="shared" si="2"/>
        <v>si llueve o no, si hace mucho frio u calor.</v>
      </c>
      <c r="I5" s="17" t="str">
        <f t="shared" si="6"/>
        <v>Temperatura</v>
      </c>
      <c r="J5" s="15" t="s">
        <v>20</v>
      </c>
      <c r="K5" s="18" t="str">
        <f t="shared" si="3"/>
        <v>Sí</v>
      </c>
      <c r="L5" s="18" t="str">
        <f t="shared" si="4"/>
        <v>No</v>
      </c>
      <c r="M5" s="18" t="str">
        <f t="shared" si="5"/>
        <v>No</v>
      </c>
      <c r="N5" s="15" t="s">
        <v>33</v>
      </c>
      <c r="O5" s="14" t="str">
        <f t="shared" si="7"/>
        <v>Salud y Bienestar</v>
      </c>
    </row>
    <row r="6" ht="22.5" customHeight="1">
      <c r="A6" s="10">
        <v>46125.552507546294</v>
      </c>
      <c r="B6" s="11">
        <f t="shared" si="1"/>
        <v>46125</v>
      </c>
      <c r="C6" s="12" t="s">
        <v>15</v>
      </c>
      <c r="D6" s="13" t="s">
        <v>34</v>
      </c>
      <c r="E6" s="13" t="s">
        <v>35</v>
      </c>
      <c r="F6" s="14">
        <v>14.0</v>
      </c>
      <c r="G6" s="15" t="s">
        <v>36</v>
      </c>
      <c r="H6" s="16" t="str">
        <f t="shared" si="2"/>
        <v>que no llueva y que no haga frío</v>
      </c>
      <c r="I6" s="17" t="s">
        <v>19</v>
      </c>
      <c r="J6" s="15" t="s">
        <v>20</v>
      </c>
      <c r="K6" s="18" t="str">
        <f t="shared" si="3"/>
        <v>Sí</v>
      </c>
      <c r="L6" s="18" t="str">
        <f t="shared" si="4"/>
        <v>No</v>
      </c>
      <c r="M6" s="18" t="str">
        <f t="shared" si="5"/>
        <v>No</v>
      </c>
      <c r="N6" s="15" t="s">
        <v>37</v>
      </c>
      <c r="O6" s="14" t="str">
        <f t="shared" si="7"/>
        <v>Salud y Bienestar</v>
      </c>
    </row>
    <row r="7" ht="22.5" customHeight="1">
      <c r="A7" s="10">
        <v>46125.55277090278</v>
      </c>
      <c r="B7" s="11">
        <f t="shared" si="1"/>
        <v>46125</v>
      </c>
      <c r="C7" s="12" t="s">
        <v>15</v>
      </c>
      <c r="D7" s="13" t="s">
        <v>38</v>
      </c>
      <c r="E7" s="13" t="s">
        <v>39</v>
      </c>
      <c r="F7" s="14">
        <v>14.0</v>
      </c>
      <c r="G7" s="15" t="s">
        <v>40</v>
      </c>
      <c r="H7" s="16" t="str">
        <f t="shared" si="2"/>
        <v>las precipitaciones y la temperatura</v>
      </c>
      <c r="I7" s="17" t="str">
        <f>IF(ISNUMBER(SEARCH("lluvi", H7)), "Precipitaciones", IF(ISNUMBER(SEARCH("precipitaci", H7)), "Precipitaciones", IF(ISNUMBER(SEARCH("grad", H7)), "Temperatura", IF(ISNUMBER(SEARCH("frio", H7)), "Temperatura", IF(ISNUMBER(SEARCH("calor", H7)), "Temperatura", IF(ISNUMBER(SEARCH("sol", H7)), "Estado del Cielo", IF(ISNUMBER(SEARCH("nubla", H7)), "Estado del Cielo", IF(ISNUMBER(SEARCH("vient", H7)), "Viento y Humedad", IF(ISNUMBER(SEARCH("humed", H7)), "Viento y Humedad", "Otros")))))))))</f>
        <v>Precipitaciones</v>
      </c>
      <c r="J7" s="15" t="s">
        <v>20</v>
      </c>
      <c r="K7" s="18" t="str">
        <f t="shared" si="3"/>
        <v>Sí</v>
      </c>
      <c r="L7" s="18" t="str">
        <f t="shared" si="4"/>
        <v>No</v>
      </c>
      <c r="M7" s="18" t="str">
        <f t="shared" si="5"/>
        <v>No</v>
      </c>
      <c r="N7" s="15" t="s">
        <v>41</v>
      </c>
      <c r="O7" s="14" t="str">
        <f t="shared" si="7"/>
        <v>Salud y Bienestar</v>
      </c>
    </row>
    <row r="8" ht="22.5" customHeight="1">
      <c r="A8" s="10">
        <v>46125.55404203704</v>
      </c>
      <c r="B8" s="11">
        <f t="shared" si="1"/>
        <v>46125</v>
      </c>
      <c r="C8" s="12" t="s">
        <v>15</v>
      </c>
      <c r="D8" s="13" t="s">
        <v>42</v>
      </c>
      <c r="E8" s="13" t="s">
        <v>43</v>
      </c>
      <c r="F8" s="19">
        <v>14.0</v>
      </c>
      <c r="G8" s="15" t="s">
        <v>44</v>
      </c>
      <c r="H8" s="16" t="str">
        <f t="shared" si="2"/>
        <v>temperatura y clima actual, futuro.</v>
      </c>
      <c r="I8" s="17" t="s">
        <v>19</v>
      </c>
      <c r="J8" s="15" t="s">
        <v>45</v>
      </c>
      <c r="K8" s="18" t="str">
        <f t="shared" si="3"/>
        <v>Sí</v>
      </c>
      <c r="L8" s="18" t="str">
        <f t="shared" si="4"/>
        <v>Sí</v>
      </c>
      <c r="M8" s="18" t="str">
        <f t="shared" si="5"/>
        <v>No</v>
      </c>
      <c r="N8" s="15" t="s">
        <v>46</v>
      </c>
      <c r="O8" s="14" t="str">
        <f t="shared" si="7"/>
        <v>Salud y Bienestar</v>
      </c>
    </row>
    <row r="9" ht="22.5" customHeight="1">
      <c r="A9" s="10">
        <v>46125.55524952547</v>
      </c>
      <c r="B9" s="11">
        <f t="shared" si="1"/>
        <v>46125</v>
      </c>
      <c r="C9" s="12" t="s">
        <v>15</v>
      </c>
      <c r="D9" s="13" t="s">
        <v>47</v>
      </c>
      <c r="E9" s="13" t="s">
        <v>48</v>
      </c>
      <c r="F9" s="14">
        <v>14.0</v>
      </c>
      <c r="G9" s="15" t="s">
        <v>49</v>
      </c>
      <c r="H9" s="16" t="str">
        <f t="shared" si="2"/>
        <v>clima templado o que no haya sol</v>
      </c>
      <c r="I9" s="17" t="str">
        <f t="shared" ref="I9:I10" si="8">IF(ISNUMBER(SEARCH("lluvi", H9)), "Precipitaciones", IF(ISNUMBER(SEARCH("precipitaci", H9)), "Precipitaciones", IF(ISNUMBER(SEARCH("grad", H9)), "Temperatura", IF(ISNUMBER(SEARCH("frio", H9)), "Temperatura", IF(ISNUMBER(SEARCH("calor", H9)), "Temperatura", IF(ISNUMBER(SEARCH("sol", H9)), "Estado del Cielo", IF(ISNUMBER(SEARCH("nubla", H9)), "Estado del Cielo", IF(ISNUMBER(SEARCH("vient", H9)), "Viento y Humedad", IF(ISNUMBER(SEARCH("humed", H9)), "Viento y Humedad", "Otros")))))))))</f>
        <v>Estado del Cielo</v>
      </c>
      <c r="J9" s="15" t="s">
        <v>50</v>
      </c>
      <c r="K9" s="18" t="str">
        <f t="shared" si="3"/>
        <v>No</v>
      </c>
      <c r="L9" s="18" t="str">
        <f t="shared" si="4"/>
        <v>Sí</v>
      </c>
      <c r="M9" s="18" t="str">
        <f t="shared" si="5"/>
        <v>No</v>
      </c>
      <c r="N9" s="15" t="s">
        <v>51</v>
      </c>
      <c r="O9" s="14" t="s">
        <v>22</v>
      </c>
    </row>
    <row r="10" ht="22.5" customHeight="1">
      <c r="A10" s="10">
        <v>46125.555714710645</v>
      </c>
      <c r="B10" s="11">
        <f t="shared" si="1"/>
        <v>46125</v>
      </c>
      <c r="C10" s="12" t="s">
        <v>15</v>
      </c>
      <c r="D10" s="13" t="s">
        <v>52</v>
      </c>
      <c r="E10" s="13" t="s">
        <v>53</v>
      </c>
      <c r="F10" s="14">
        <v>14.0</v>
      </c>
      <c r="G10" s="15" t="s">
        <v>54</v>
      </c>
      <c r="H10" s="16" t="str">
        <f t="shared" si="2"/>
        <v>soleado o nublado</v>
      </c>
      <c r="I10" s="17" t="str">
        <f t="shared" si="8"/>
        <v>Estado del Cielo</v>
      </c>
      <c r="J10" s="15" t="s">
        <v>55</v>
      </c>
      <c r="K10" s="18" t="str">
        <f t="shared" si="3"/>
        <v>No</v>
      </c>
      <c r="L10" s="18" t="str">
        <f t="shared" si="4"/>
        <v>No</v>
      </c>
      <c r="M10" s="18" t="str">
        <f t="shared" si="5"/>
        <v>Sí</v>
      </c>
      <c r="N10" s="15" t="s">
        <v>56</v>
      </c>
      <c r="O10" s="14" t="str">
        <f>IF(ISNUMBER(SEARCH("dolor", N10)), "Salud y Bienestar", IF(ISNUMBER(SEARCH("resfria", N10)), "Salud y Bienestar", IF(ISNUMBER(SEARCH("insola", N10)), "Salud y Bienestar", IF(ISNUMBER(SEARCH("fisica", N10)), "Planificación Escolar", IF(ISNUMBER(SEARCH("futbol", N10)), "Planificación Escolar", IF(ISNUMBER(SEARCH("voley", N10)), "Planificación Escolar", IF(ISNUMBER(SEARCH("recreo", H10)), "Planificación Escolar", IF(ISNUMBER(SEARCH("sombra", H10)), "Gestión de Recursos", IF(ISNUMBER(SEARCH("arbol", H10)), "Gestión de Recursos", IF(ISNUMBER(SEARCH("compu", H10)), "Gestión de Recursos", IF(ISNUMBER(SEARCH("vestimenta", H10)), "Logística y Vestimenta", IF(ISNUMBER(SEARCH("ropa", H10)), "Logística y Vestimenta", IF(ISNUMBER(SEARCH("ambient", H10)), "Conciencia Ambiental", IF(ISNUMBER(SEARCH("carbono", H10)), "Conciencia Ambiental", "Otros"))))))))))))))</f>
        <v>Salud y Bienestar</v>
      </c>
    </row>
    <row r="11" ht="22.5" customHeight="1">
      <c r="A11" s="10">
        <v>46125.55591947917</v>
      </c>
      <c r="B11" s="11">
        <f t="shared" si="1"/>
        <v>46125</v>
      </c>
      <c r="C11" s="12" t="s">
        <v>15</v>
      </c>
      <c r="D11" s="13" t="s">
        <v>57</v>
      </c>
      <c r="E11" s="13" t="s">
        <v>58</v>
      </c>
      <c r="F11" s="14">
        <v>14.0</v>
      </c>
      <c r="G11" s="15" t="s">
        <v>59</v>
      </c>
      <c r="H11" s="16" t="str">
        <f t="shared" si="2"/>
        <v>que no haya algun desastre natural</v>
      </c>
      <c r="I11" s="17" t="s">
        <v>19</v>
      </c>
      <c r="J11" s="15" t="s">
        <v>60</v>
      </c>
      <c r="K11" s="18" t="str">
        <f t="shared" si="3"/>
        <v>Sí</v>
      </c>
      <c r="L11" s="18" t="str">
        <f t="shared" si="4"/>
        <v>Sí</v>
      </c>
      <c r="M11" s="18" t="str">
        <f t="shared" si="5"/>
        <v>Sí</v>
      </c>
      <c r="N11" s="15" t="s">
        <v>61</v>
      </c>
      <c r="O11" s="14" t="s">
        <v>22</v>
      </c>
    </row>
    <row r="12" ht="27.0" customHeight="1">
      <c r="A12" s="10">
        <v>46125.55994131944</v>
      </c>
      <c r="B12" s="11">
        <f t="shared" si="1"/>
        <v>46125</v>
      </c>
      <c r="C12" s="12" t="s">
        <v>15</v>
      </c>
      <c r="D12" s="13" t="s">
        <v>62</v>
      </c>
      <c r="E12" s="13" t="s">
        <v>63</v>
      </c>
      <c r="F12" s="14">
        <v>14.0</v>
      </c>
      <c r="G12" s="15" t="s">
        <v>64</v>
      </c>
      <c r="H12" s="16" t="str">
        <f t="shared" si="2"/>
        <v>que no este frio, y que este templado, o nublado</v>
      </c>
      <c r="I12" s="17" t="str">
        <f>IF(ISNUMBER(SEARCH("lluvi", H12)), "Precipitaciones", IF(ISNUMBER(SEARCH("precipitaci", H12)), "Precipitaciones", IF(ISNUMBER(SEARCH("grad", H12)), "Temperatura", IF(ISNUMBER(SEARCH("frio", H12)), "Temperatura", IF(ISNUMBER(SEARCH("calor", H12)), "Temperatura", IF(ISNUMBER(SEARCH("sol", H12)), "Estado del Cielo", IF(ISNUMBER(SEARCH("nubla", H12)), "Estado del Cielo", IF(ISNUMBER(SEARCH("vient", H12)), "Viento y Humedad", IF(ISNUMBER(SEARCH("humed", H12)), "Viento y Humedad", "Otros")))))))))</f>
        <v>Temperatura</v>
      </c>
      <c r="J12" s="15" t="s">
        <v>55</v>
      </c>
      <c r="K12" s="18" t="str">
        <f t="shared" si="3"/>
        <v>No</v>
      </c>
      <c r="L12" s="18" t="str">
        <f t="shared" si="4"/>
        <v>No</v>
      </c>
      <c r="M12" s="18" t="str">
        <f t="shared" si="5"/>
        <v>Sí</v>
      </c>
      <c r="N12" s="15" t="s">
        <v>65</v>
      </c>
      <c r="O12" s="14" t="str">
        <f>IF(ISNUMBER(SEARCH("dolor", N12)), "Salud y Bienestar", IF(ISNUMBER(SEARCH("resfria", N12)), "Salud y Bienestar", IF(ISNUMBER(SEARCH("insola", N12)), "Salud y Bienestar", IF(ISNUMBER(SEARCH("fisica", N12)), "Planificación Escolar", IF(ISNUMBER(SEARCH("futbol", N12)), "Planificación Escolar", IF(ISNUMBER(SEARCH("voley", N12)), "Planificación Escolar", IF(ISNUMBER(SEARCH("recreo", H12)), "Planificación Escolar", IF(ISNUMBER(SEARCH("sombra", H12)), "Gestión de Recursos", IF(ISNUMBER(SEARCH("arbol", H12)), "Gestión de Recursos", IF(ISNUMBER(SEARCH("compu", H12)), "Gestión de Recursos", IF(ISNUMBER(SEARCH("vestimenta", H12)), "Logística y Vestimenta", IF(ISNUMBER(SEARCH("ropa", H12)), "Logística y Vestimenta", IF(ISNUMBER(SEARCH("ambient", H12)), "Conciencia Ambiental", IF(ISNUMBER(SEARCH("carbono", H12)), "Conciencia Ambiental", "Otros"))))))))))))))</f>
        <v>Salud y Bienestar</v>
      </c>
    </row>
    <row r="13" ht="22.5" customHeight="1">
      <c r="A13" s="10">
        <v>46125.58819707176</v>
      </c>
      <c r="B13" s="11">
        <f t="shared" si="1"/>
        <v>46125</v>
      </c>
      <c r="C13" s="12" t="s">
        <v>15</v>
      </c>
      <c r="D13" s="13" t="s">
        <v>66</v>
      </c>
      <c r="E13" s="13" t="s">
        <v>67</v>
      </c>
      <c r="F13" s="14">
        <v>14.0</v>
      </c>
      <c r="G13" s="15" t="s">
        <v>68</v>
      </c>
      <c r="H13" s="16" t="str">
        <f t="shared" si="2"/>
        <v>temeratura baja</v>
      </c>
      <c r="I13" s="17" t="s">
        <v>19</v>
      </c>
      <c r="J13" s="15" t="s">
        <v>60</v>
      </c>
      <c r="K13" s="18" t="str">
        <f t="shared" si="3"/>
        <v>Sí</v>
      </c>
      <c r="L13" s="18" t="str">
        <f t="shared" si="4"/>
        <v>Sí</v>
      </c>
      <c r="M13" s="18" t="str">
        <f t="shared" si="5"/>
        <v>Sí</v>
      </c>
      <c r="N13" s="15" t="s">
        <v>69</v>
      </c>
      <c r="O13" s="14" t="s">
        <v>22</v>
      </c>
    </row>
    <row r="14" ht="22.5" customHeight="1">
      <c r="A14" s="10">
        <v>46125.591400868056</v>
      </c>
      <c r="B14" s="11">
        <f t="shared" si="1"/>
        <v>46125</v>
      </c>
      <c r="C14" s="12" t="s">
        <v>15</v>
      </c>
      <c r="D14" s="13" t="s">
        <v>70</v>
      </c>
      <c r="E14" s="13" t="s">
        <v>71</v>
      </c>
      <c r="F14" s="14">
        <v>14.0</v>
      </c>
      <c r="G14" s="15" t="s">
        <v>72</v>
      </c>
      <c r="H14" s="16" t="str">
        <f t="shared" si="2"/>
        <v>calido y con poco viento</v>
      </c>
      <c r="I14" s="17" t="str">
        <f t="shared" ref="I14:I21" si="9">IF(ISNUMBER(SEARCH("lluvi", H14)), "Precipitaciones", IF(ISNUMBER(SEARCH("precipitaci", H14)), "Precipitaciones", IF(ISNUMBER(SEARCH("grad", H14)), "Temperatura", IF(ISNUMBER(SEARCH("frio", H14)), "Temperatura", IF(ISNUMBER(SEARCH("calor", H14)), "Temperatura", IF(ISNUMBER(SEARCH("sol", H14)), "Estado del Cielo", IF(ISNUMBER(SEARCH("nubla", H14)), "Estado del Cielo", IF(ISNUMBER(SEARCH("vient", H14)), "Viento y Humedad", IF(ISNUMBER(SEARCH("humed", H14)), "Viento y Humedad", "Otros")))))))))</f>
        <v>Viento y Humedad</v>
      </c>
      <c r="J14" s="15" t="s">
        <v>55</v>
      </c>
      <c r="K14" s="18" t="str">
        <f t="shared" si="3"/>
        <v>No</v>
      </c>
      <c r="L14" s="18" t="str">
        <f t="shared" si="4"/>
        <v>No</v>
      </c>
      <c r="M14" s="18" t="str">
        <f t="shared" si="5"/>
        <v>Sí</v>
      </c>
      <c r="N14" s="15" t="s">
        <v>73</v>
      </c>
      <c r="O14" s="14" t="str">
        <f t="shared" ref="O14:O16" si="10">IF(ISNUMBER(SEARCH("dolor", N14)), "Salud y Bienestar", IF(ISNUMBER(SEARCH("resfria", N14)), "Salud y Bienestar", IF(ISNUMBER(SEARCH("insola", N14)), "Salud y Bienestar", IF(ISNUMBER(SEARCH("fisica", N14)), "Planificación Escolar", IF(ISNUMBER(SEARCH("futbol", N14)), "Planificación Escolar", IF(ISNUMBER(SEARCH("voley", N14)), "Planificación Escolar", IF(ISNUMBER(SEARCH("recreo", H14)), "Planificación Escolar", IF(ISNUMBER(SEARCH("sombra", H14)), "Gestión de Recursos", IF(ISNUMBER(SEARCH("arbol", H14)), "Gestión de Recursos", IF(ISNUMBER(SEARCH("compu", H14)), "Gestión de Recursos", IF(ISNUMBER(SEARCH("vestimenta", H14)), "Logística y Vestimenta", IF(ISNUMBER(SEARCH("ropa", H14)), "Logística y Vestimenta", IF(ISNUMBER(SEARCH("ambient", H14)), "Conciencia Ambiental", IF(ISNUMBER(SEARCH("carbono", H14)), "Conciencia Ambiental", "Otros"))))))))))))))</f>
        <v>Salud y Bienestar</v>
      </c>
    </row>
    <row r="15" ht="22.5" customHeight="1">
      <c r="A15" s="10">
        <v>46125.59296354167</v>
      </c>
      <c r="B15" s="11">
        <f t="shared" si="1"/>
        <v>46125</v>
      </c>
      <c r="C15" s="12" t="s">
        <v>15</v>
      </c>
      <c r="D15" s="13" t="s">
        <v>70</v>
      </c>
      <c r="E15" s="13" t="s">
        <v>71</v>
      </c>
      <c r="F15" s="14">
        <v>14.0</v>
      </c>
      <c r="G15" s="15" t="s">
        <v>72</v>
      </c>
      <c r="H15" s="16" t="str">
        <f t="shared" si="2"/>
        <v>calido y con poco viento</v>
      </c>
      <c r="I15" s="17" t="str">
        <f t="shared" si="9"/>
        <v>Viento y Humedad</v>
      </c>
      <c r="J15" s="15" t="s">
        <v>55</v>
      </c>
      <c r="K15" s="18" t="str">
        <f t="shared" si="3"/>
        <v>No</v>
      </c>
      <c r="L15" s="18" t="str">
        <f t="shared" si="4"/>
        <v>No</v>
      </c>
      <c r="M15" s="18" t="str">
        <f t="shared" si="5"/>
        <v>Sí</v>
      </c>
      <c r="N15" s="15" t="s">
        <v>74</v>
      </c>
      <c r="O15" s="14" t="str">
        <f t="shared" si="10"/>
        <v>Planificación Escolar</v>
      </c>
    </row>
    <row r="16" ht="22.5" customHeight="1">
      <c r="A16" s="10">
        <v>46125.59707570601</v>
      </c>
      <c r="B16" s="11">
        <f t="shared" si="1"/>
        <v>46125</v>
      </c>
      <c r="C16" s="12" t="s">
        <v>15</v>
      </c>
      <c r="D16" s="13" t="s">
        <v>75</v>
      </c>
      <c r="E16" s="13" t="s">
        <v>76</v>
      </c>
      <c r="F16" s="14">
        <v>14.0</v>
      </c>
      <c r="G16" s="15" t="s">
        <v>77</v>
      </c>
      <c r="H16" s="16" t="str">
        <f t="shared" si="2"/>
        <v> ni frio o calor, o si hace calor que haya viento </v>
      </c>
      <c r="I16" s="17" t="str">
        <f t="shared" si="9"/>
        <v>Temperatura</v>
      </c>
      <c r="J16" s="15" t="s">
        <v>55</v>
      </c>
      <c r="K16" s="18" t="str">
        <f t="shared" si="3"/>
        <v>No</v>
      </c>
      <c r="L16" s="18" t="str">
        <f t="shared" si="4"/>
        <v>No</v>
      </c>
      <c r="M16" s="18" t="str">
        <f t="shared" si="5"/>
        <v>Sí</v>
      </c>
      <c r="N16" s="15" t="s">
        <v>78</v>
      </c>
      <c r="O16" s="14" t="str">
        <f t="shared" si="10"/>
        <v>Salud y Bienestar</v>
      </c>
    </row>
    <row r="17" ht="22.5" customHeight="1">
      <c r="A17" s="10">
        <v>46125.59748564815</v>
      </c>
      <c r="B17" s="11">
        <f t="shared" si="1"/>
        <v>46125</v>
      </c>
      <c r="C17" s="12" t="s">
        <v>15</v>
      </c>
      <c r="D17" s="13" t="s">
        <v>34</v>
      </c>
      <c r="E17" s="13" t="s">
        <v>35</v>
      </c>
      <c r="F17" s="14">
        <v>14.0</v>
      </c>
      <c r="G17" s="15" t="s">
        <v>79</v>
      </c>
      <c r="H17" s="16" t="str">
        <f t="shared" si="2"/>
        <v>soleado</v>
      </c>
      <c r="I17" s="17" t="str">
        <f t="shared" si="9"/>
        <v>Estado del Cielo</v>
      </c>
      <c r="J17" s="15" t="s">
        <v>20</v>
      </c>
      <c r="K17" s="18" t="str">
        <f t="shared" si="3"/>
        <v>Sí</v>
      </c>
      <c r="L17" s="18" t="str">
        <f t="shared" si="4"/>
        <v>No</v>
      </c>
      <c r="M17" s="18" t="str">
        <f t="shared" si="5"/>
        <v>No</v>
      </c>
      <c r="N17" s="15" t="s">
        <v>80</v>
      </c>
      <c r="O17" s="14" t="s">
        <v>22</v>
      </c>
    </row>
    <row r="18" ht="22.5" customHeight="1">
      <c r="A18" s="10">
        <v>46125.597639733794</v>
      </c>
      <c r="B18" s="11">
        <f t="shared" si="1"/>
        <v>46125</v>
      </c>
      <c r="C18" s="12" t="s">
        <v>15</v>
      </c>
      <c r="D18" s="13" t="s">
        <v>30</v>
      </c>
      <c r="E18" s="13" t="s">
        <v>31</v>
      </c>
      <c r="F18" s="14">
        <v>14.0</v>
      </c>
      <c r="G18" s="15" t="s">
        <v>81</v>
      </c>
      <c r="H18" s="16" t="str">
        <f t="shared" si="2"/>
        <v>con lluvia, y con frio </v>
      </c>
      <c r="I18" s="17" t="str">
        <f t="shared" si="9"/>
        <v>Precipitaciones</v>
      </c>
      <c r="J18" s="15" t="s">
        <v>20</v>
      </c>
      <c r="K18" s="18" t="str">
        <f t="shared" si="3"/>
        <v>Sí</v>
      </c>
      <c r="L18" s="18" t="str">
        <f t="shared" si="4"/>
        <v>No</v>
      </c>
      <c r="M18" s="18" t="str">
        <f t="shared" si="5"/>
        <v>No</v>
      </c>
      <c r="N18" s="15" t="s">
        <v>82</v>
      </c>
      <c r="O18" s="14" t="s">
        <v>22</v>
      </c>
    </row>
    <row r="19" ht="22.5" customHeight="1">
      <c r="A19" s="10">
        <v>46125.69804200232</v>
      </c>
      <c r="B19" s="11">
        <f t="shared" si="1"/>
        <v>46125</v>
      </c>
      <c r="C19" s="12" t="s">
        <v>15</v>
      </c>
      <c r="D19" s="13" t="s">
        <v>83</v>
      </c>
      <c r="E19" s="13" t="s">
        <v>84</v>
      </c>
      <c r="F19" s="14">
        <v>39.0</v>
      </c>
      <c r="G19" s="15" t="s">
        <v>72</v>
      </c>
      <c r="H19" s="16" t="str">
        <f t="shared" si="2"/>
        <v>calido y con poco viento</v>
      </c>
      <c r="I19" s="17" t="str">
        <f t="shared" si="9"/>
        <v>Viento y Humedad</v>
      </c>
      <c r="J19" s="15" t="s">
        <v>50</v>
      </c>
      <c r="K19" s="18" t="str">
        <f t="shared" si="3"/>
        <v>No</v>
      </c>
      <c r="L19" s="18" t="str">
        <f t="shared" si="4"/>
        <v>Sí</v>
      </c>
      <c r="M19" s="18" t="str">
        <f t="shared" si="5"/>
        <v>No</v>
      </c>
      <c r="N19" s="15" t="s">
        <v>85</v>
      </c>
      <c r="O19" s="14" t="s">
        <v>22</v>
      </c>
    </row>
    <row r="20" ht="22.5" customHeight="1">
      <c r="A20" s="10">
        <v>46125.76390853009</v>
      </c>
      <c r="B20" s="11">
        <f t="shared" si="1"/>
        <v>46125</v>
      </c>
      <c r="C20" s="12" t="s">
        <v>15</v>
      </c>
      <c r="D20" s="13" t="s">
        <v>86</v>
      </c>
      <c r="E20" s="13" t="s">
        <v>87</v>
      </c>
      <c r="F20" s="14">
        <v>15.0</v>
      </c>
      <c r="G20" s="15" t="s">
        <v>88</v>
      </c>
      <c r="H20" s="16" t="str">
        <f t="shared" si="2"/>
        <v>soleado o que no llueva </v>
      </c>
      <c r="I20" s="17" t="str">
        <f t="shared" si="9"/>
        <v>Estado del Cielo</v>
      </c>
      <c r="J20" s="15" t="s">
        <v>20</v>
      </c>
      <c r="K20" s="18" t="str">
        <f t="shared" si="3"/>
        <v>Sí</v>
      </c>
      <c r="L20" s="18" t="str">
        <f t="shared" si="4"/>
        <v>No</v>
      </c>
      <c r="M20" s="18" t="str">
        <f t="shared" si="5"/>
        <v>No</v>
      </c>
      <c r="N20" s="15"/>
      <c r="O20" s="14" t="s">
        <v>22</v>
      </c>
    </row>
    <row r="21" ht="22.5" customHeight="1">
      <c r="A21" s="10">
        <v>46125.97505282407</v>
      </c>
      <c r="B21" s="11">
        <f t="shared" si="1"/>
        <v>46125</v>
      </c>
      <c r="C21" s="12" t="s">
        <v>15</v>
      </c>
      <c r="D21" s="13" t="s">
        <v>89</v>
      </c>
      <c r="E21" s="13" t="s">
        <v>90</v>
      </c>
      <c r="F21" s="14">
        <v>52.0</v>
      </c>
      <c r="G21" s="15" t="s">
        <v>91</v>
      </c>
      <c r="H21" s="16" t="str">
        <f t="shared" si="2"/>
        <v>la temperatura, si va a haber viento y si hay pronóstico de lluvia</v>
      </c>
      <c r="I21" s="17" t="str">
        <f t="shared" si="9"/>
        <v>Precipitaciones</v>
      </c>
      <c r="J21" s="15" t="s">
        <v>20</v>
      </c>
      <c r="K21" s="18" t="str">
        <f t="shared" si="3"/>
        <v>Sí</v>
      </c>
      <c r="L21" s="18" t="str">
        <f t="shared" si="4"/>
        <v>No</v>
      </c>
      <c r="M21" s="18" t="str">
        <f t="shared" si="5"/>
        <v>No</v>
      </c>
      <c r="N21" s="15" t="s">
        <v>92</v>
      </c>
      <c r="O21" s="14" t="s">
        <v>22</v>
      </c>
    </row>
    <row r="22" ht="22.5" customHeight="1">
      <c r="A22" s="10">
        <v>46126.485862118054</v>
      </c>
      <c r="B22" s="11">
        <f t="shared" si="1"/>
        <v>46126</v>
      </c>
      <c r="C22" s="12" t="s">
        <v>15</v>
      </c>
      <c r="D22" s="13" t="s">
        <v>93</v>
      </c>
      <c r="E22" s="13" t="s">
        <v>94</v>
      </c>
      <c r="F22" s="14">
        <v>14.0</v>
      </c>
      <c r="G22" s="15" t="s">
        <v>95</v>
      </c>
      <c r="H22" s="16" t="str">
        <f t="shared" si="2"/>
        <v> el pronostico</v>
      </c>
      <c r="I22" s="17" t="s">
        <v>19</v>
      </c>
      <c r="J22" s="15" t="s">
        <v>55</v>
      </c>
      <c r="K22" s="18" t="str">
        <f t="shared" si="3"/>
        <v>No</v>
      </c>
      <c r="L22" s="18" t="str">
        <f t="shared" si="4"/>
        <v>No</v>
      </c>
      <c r="M22" s="18" t="str">
        <f t="shared" si="5"/>
        <v>Sí</v>
      </c>
      <c r="N22" s="15" t="s">
        <v>96</v>
      </c>
      <c r="O22" s="14" t="str">
        <f>IF(ISNUMBER(SEARCH("dolor", N22)), "Salud y Bienestar", IF(ISNUMBER(SEARCH("resfria", N22)), "Salud y Bienestar", IF(ISNUMBER(SEARCH("insola", N22)), "Salud y Bienestar", IF(ISNUMBER(SEARCH("fisica", N22)), "Planificación Escolar", IF(ISNUMBER(SEARCH("futbol", N22)), "Planificación Escolar", IF(ISNUMBER(SEARCH("voley", N22)), "Planificación Escolar", IF(ISNUMBER(SEARCH("recreo", H22)), "Planificación Escolar", IF(ISNUMBER(SEARCH("sombra", H22)), "Gestión de Recursos", IF(ISNUMBER(SEARCH("arbol", H22)), "Gestión de Recursos", IF(ISNUMBER(SEARCH("compu", H22)), "Gestión de Recursos", IF(ISNUMBER(SEARCH("vestimenta", H22)), "Logística y Vestimenta", IF(ISNUMBER(SEARCH("ropa", H22)), "Logística y Vestimenta", IF(ISNUMBER(SEARCH("ambient", H22)), "Conciencia Ambiental", IF(ISNUMBER(SEARCH("carbono", H22)), "Conciencia Ambiental", "Otros"))))))))))))))</f>
        <v>Salud y Bienestar</v>
      </c>
    </row>
    <row r="23" ht="22.5" customHeight="1">
      <c r="A23" s="10">
        <v>46126.48860859954</v>
      </c>
      <c r="B23" s="11">
        <f t="shared" si="1"/>
        <v>46126</v>
      </c>
      <c r="C23" s="12" t="s">
        <v>15</v>
      </c>
      <c r="D23" s="13" t="s">
        <v>97</v>
      </c>
      <c r="E23" s="13" t="s">
        <v>98</v>
      </c>
      <c r="F23" s="14">
        <v>47.0</v>
      </c>
      <c r="G23" s="15" t="s">
        <v>99</v>
      </c>
      <c r="H23" s="16" t="str">
        <f t="shared" si="2"/>
        <v>si llueve o si hay sol.</v>
      </c>
      <c r="I23" s="17" t="str">
        <f t="shared" ref="I23:I30" si="11">IF(ISNUMBER(SEARCH("lluvi", H23)), "Precipitaciones", IF(ISNUMBER(SEARCH("precipitaci", H23)), "Precipitaciones", IF(ISNUMBER(SEARCH("grad", H23)), "Temperatura", IF(ISNUMBER(SEARCH("frio", H23)), "Temperatura", IF(ISNUMBER(SEARCH("calor", H23)), "Temperatura", IF(ISNUMBER(SEARCH("sol", H23)), "Estado del Cielo", IF(ISNUMBER(SEARCH("nubla", H23)), "Estado del Cielo", IF(ISNUMBER(SEARCH("vient", H23)), "Viento y Humedad", IF(ISNUMBER(SEARCH("humed", H23)), "Viento y Humedad", "Otros")))))))))</f>
        <v>Estado del Cielo</v>
      </c>
      <c r="J23" s="15" t="s">
        <v>55</v>
      </c>
      <c r="K23" s="18" t="str">
        <f t="shared" si="3"/>
        <v>No</v>
      </c>
      <c r="L23" s="18" t="str">
        <f t="shared" si="4"/>
        <v>No</v>
      </c>
      <c r="M23" s="18" t="str">
        <f t="shared" si="5"/>
        <v>Sí</v>
      </c>
      <c r="N23" s="15"/>
      <c r="O23" s="14" t="s">
        <v>22</v>
      </c>
    </row>
    <row r="24" ht="22.5" customHeight="1">
      <c r="A24" s="10">
        <v>46126.58099082176</v>
      </c>
      <c r="B24" s="11">
        <f t="shared" si="1"/>
        <v>46126</v>
      </c>
      <c r="C24" s="12" t="s">
        <v>15</v>
      </c>
      <c r="D24" s="13" t="s">
        <v>100</v>
      </c>
      <c r="E24" s="13" t="s">
        <v>101</v>
      </c>
      <c r="F24" s="14">
        <v>16.0</v>
      </c>
      <c r="G24" s="15" t="s">
        <v>102</v>
      </c>
      <c r="H24" s="16" t="str">
        <f t="shared" si="2"/>
        <v>que no haya humedad y que no haga mas de veinticinco grados</v>
      </c>
      <c r="I24" s="17" t="str">
        <f t="shared" si="11"/>
        <v>Temperatura</v>
      </c>
      <c r="J24" s="15" t="s">
        <v>55</v>
      </c>
      <c r="K24" s="18" t="str">
        <f t="shared" si="3"/>
        <v>No</v>
      </c>
      <c r="L24" s="18" t="str">
        <f t="shared" si="4"/>
        <v>No</v>
      </c>
      <c r="M24" s="18" t="str">
        <f t="shared" si="5"/>
        <v>Sí</v>
      </c>
      <c r="N24" s="15" t="s">
        <v>103</v>
      </c>
      <c r="O24" s="14" t="s">
        <v>22</v>
      </c>
    </row>
    <row r="25" ht="22.5" customHeight="1">
      <c r="A25" s="10">
        <v>46126.58348555556</v>
      </c>
      <c r="B25" s="11">
        <f t="shared" si="1"/>
        <v>46126</v>
      </c>
      <c r="C25" s="12" t="s">
        <v>15</v>
      </c>
      <c r="D25" s="13" t="s">
        <v>104</v>
      </c>
      <c r="E25" s="13" t="s">
        <v>105</v>
      </c>
      <c r="F25" s="14">
        <v>16.0</v>
      </c>
      <c r="G25" s="15" t="s">
        <v>106</v>
      </c>
      <c r="H25" s="16" t="str">
        <f t="shared" si="2"/>
        <v>clima soleado</v>
      </c>
      <c r="I25" s="17" t="str">
        <f t="shared" si="11"/>
        <v>Estado del Cielo</v>
      </c>
      <c r="J25" s="15" t="s">
        <v>50</v>
      </c>
      <c r="K25" s="18" t="str">
        <f t="shared" si="3"/>
        <v>No</v>
      </c>
      <c r="L25" s="18" t="str">
        <f t="shared" si="4"/>
        <v>Sí</v>
      </c>
      <c r="M25" s="18" t="str">
        <f t="shared" si="5"/>
        <v>No</v>
      </c>
      <c r="N25" s="15" t="s">
        <v>107</v>
      </c>
      <c r="O25" s="14" t="s">
        <v>22</v>
      </c>
    </row>
    <row r="26" ht="22.5" customHeight="1">
      <c r="A26" s="10">
        <v>46126.585295972225</v>
      </c>
      <c r="B26" s="11">
        <f t="shared" si="1"/>
        <v>46126</v>
      </c>
      <c r="C26" s="12" t="s">
        <v>15</v>
      </c>
      <c r="D26" s="13" t="s">
        <v>108</v>
      </c>
      <c r="E26" s="13" t="s">
        <v>109</v>
      </c>
      <c r="F26" s="14">
        <v>16.0</v>
      </c>
      <c r="G26" s="15" t="s">
        <v>110</v>
      </c>
      <c r="H26" s="16" t="str">
        <f t="shared" si="2"/>
        <v>que no haya casi probabilidad de lluvia, tipo cero grados o muy baja, porque si llueve se arruina todo, después también me fijaría que no haga mucho viento y que la temperatura esté bien, ni mucho frío ni mucho calor.</v>
      </c>
      <c r="I26" s="17" t="str">
        <f t="shared" si="11"/>
        <v>Precipitaciones</v>
      </c>
      <c r="J26" s="15" t="s">
        <v>20</v>
      </c>
      <c r="K26" s="18" t="str">
        <f t="shared" si="3"/>
        <v>Sí</v>
      </c>
      <c r="L26" s="18" t="str">
        <f t="shared" si="4"/>
        <v>No</v>
      </c>
      <c r="M26" s="18" t="str">
        <f t="shared" si="5"/>
        <v>No</v>
      </c>
      <c r="N26" s="15" t="s">
        <v>111</v>
      </c>
      <c r="O26" s="14" t="s">
        <v>22</v>
      </c>
    </row>
    <row r="27" ht="22.5" customHeight="1">
      <c r="A27" s="10">
        <v>46126.585400868054</v>
      </c>
      <c r="B27" s="11">
        <f t="shared" si="1"/>
        <v>46126</v>
      </c>
      <c r="C27" s="12" t="s">
        <v>15</v>
      </c>
      <c r="D27" s="13" t="s">
        <v>112</v>
      </c>
      <c r="E27" s="13" t="s">
        <v>113</v>
      </c>
      <c r="F27" s="14">
        <v>16.0</v>
      </c>
      <c r="G27" s="15" t="s">
        <v>114</v>
      </c>
      <c r="H27" s="16" t="str">
        <f t="shared" si="2"/>
        <v>parcialmente nublado sin lluvia, no con tanto calor y poco viento.</v>
      </c>
      <c r="I27" s="17" t="str">
        <f t="shared" si="11"/>
        <v>Precipitaciones</v>
      </c>
      <c r="J27" s="15" t="s">
        <v>20</v>
      </c>
      <c r="K27" s="18" t="str">
        <f t="shared" si="3"/>
        <v>Sí</v>
      </c>
      <c r="L27" s="18" t="str">
        <f t="shared" si="4"/>
        <v>No</v>
      </c>
      <c r="M27" s="18" t="str">
        <f t="shared" si="5"/>
        <v>No</v>
      </c>
      <c r="N27" s="15" t="s">
        <v>115</v>
      </c>
      <c r="O27" s="14" t="s">
        <v>22</v>
      </c>
    </row>
    <row r="28" ht="22.5" customHeight="1">
      <c r="A28" s="10">
        <v>46126.61586828704</v>
      </c>
      <c r="B28" s="11">
        <f t="shared" si="1"/>
        <v>46126</v>
      </c>
      <c r="C28" s="12" t="s">
        <v>15</v>
      </c>
      <c r="D28" s="13" t="s">
        <v>116</v>
      </c>
      <c r="E28" s="13" t="s">
        <v>117</v>
      </c>
      <c r="F28" s="14">
        <v>16.0</v>
      </c>
      <c r="G28" s="15" t="s">
        <v>118</v>
      </c>
      <c r="H28" s="16" t="str">
        <f t="shared" si="2"/>
        <v>las precipitaciones</v>
      </c>
      <c r="I28" s="17" t="str">
        <f t="shared" si="11"/>
        <v>Precipitaciones</v>
      </c>
      <c r="J28" s="15" t="s">
        <v>50</v>
      </c>
      <c r="K28" s="18" t="str">
        <f t="shared" si="3"/>
        <v>No</v>
      </c>
      <c r="L28" s="18" t="str">
        <f t="shared" si="4"/>
        <v>Sí</v>
      </c>
      <c r="M28" s="18" t="str">
        <f t="shared" si="5"/>
        <v>No</v>
      </c>
      <c r="N28" s="15" t="s">
        <v>119</v>
      </c>
      <c r="O28" s="14" t="s">
        <v>22</v>
      </c>
    </row>
    <row r="29" ht="22.5" customHeight="1">
      <c r="A29" s="10">
        <v>46126.65105894676</v>
      </c>
      <c r="B29" s="11">
        <f t="shared" si="1"/>
        <v>46126</v>
      </c>
      <c r="C29" s="12" t="s">
        <v>15</v>
      </c>
      <c r="D29" s="13" t="s">
        <v>120</v>
      </c>
      <c r="E29" s="13" t="s">
        <v>121</v>
      </c>
      <c r="F29" s="14">
        <v>18.0</v>
      </c>
      <c r="G29" s="15" t="s">
        <v>122</v>
      </c>
      <c r="H29" s="16" t="str">
        <f t="shared" si="2"/>
        <v>cero porciento de probabilidad de lluvia </v>
      </c>
      <c r="I29" s="17" t="str">
        <f t="shared" si="11"/>
        <v>Precipitaciones</v>
      </c>
      <c r="J29" s="15" t="s">
        <v>55</v>
      </c>
      <c r="K29" s="18" t="str">
        <f t="shared" si="3"/>
        <v>No</v>
      </c>
      <c r="L29" s="18" t="str">
        <f t="shared" si="4"/>
        <v>No</v>
      </c>
      <c r="M29" s="18" t="str">
        <f t="shared" si="5"/>
        <v>Sí</v>
      </c>
      <c r="N29" s="15" t="s">
        <v>123</v>
      </c>
      <c r="O29" s="14" t="s">
        <v>22</v>
      </c>
    </row>
    <row r="30" ht="22.5" customHeight="1">
      <c r="A30" s="10">
        <v>46126.65113143518</v>
      </c>
      <c r="B30" s="11">
        <f t="shared" si="1"/>
        <v>46126</v>
      </c>
      <c r="C30" s="12" t="s">
        <v>15</v>
      </c>
      <c r="D30" s="13" t="s">
        <v>124</v>
      </c>
      <c r="E30" s="13" t="s">
        <v>125</v>
      </c>
      <c r="F30" s="14">
        <v>17.0</v>
      </c>
      <c r="G30" s="15" t="s">
        <v>126</v>
      </c>
      <c r="H30" s="16" t="str">
        <f t="shared" si="2"/>
        <v>probabilidad de precipitación</v>
      </c>
      <c r="I30" s="17" t="str">
        <f t="shared" si="11"/>
        <v>Precipitaciones</v>
      </c>
      <c r="J30" s="15" t="s">
        <v>127</v>
      </c>
      <c r="K30" s="18" t="str">
        <f t="shared" si="3"/>
        <v>No</v>
      </c>
      <c r="L30" s="18" t="str">
        <f t="shared" si="4"/>
        <v>Sí</v>
      </c>
      <c r="M30" s="18" t="str">
        <f t="shared" si="5"/>
        <v>Sí</v>
      </c>
      <c r="N30" s="15" t="s">
        <v>128</v>
      </c>
      <c r="O30" s="14" t="s">
        <v>22</v>
      </c>
    </row>
    <row r="31" ht="22.5" customHeight="1">
      <c r="A31" s="10">
        <v>46126.65214863426</v>
      </c>
      <c r="B31" s="11">
        <f t="shared" si="1"/>
        <v>46126</v>
      </c>
      <c r="C31" s="12" t="s">
        <v>15</v>
      </c>
      <c r="D31" s="13" t="s">
        <v>129</v>
      </c>
      <c r="E31" s="13" t="s">
        <v>130</v>
      </c>
      <c r="F31" s="14">
        <v>18.0</v>
      </c>
      <c r="G31" s="15" t="s">
        <v>131</v>
      </c>
      <c r="H31" s="16" t="str">
        <f t="shared" si="2"/>
        <v>q no llueva</v>
      </c>
      <c r="I31" s="17"/>
      <c r="J31" s="15" t="s">
        <v>60</v>
      </c>
      <c r="K31" s="18" t="str">
        <f t="shared" si="3"/>
        <v>Sí</v>
      </c>
      <c r="L31" s="18" t="str">
        <f t="shared" si="4"/>
        <v>Sí</v>
      </c>
      <c r="M31" s="18" t="str">
        <f t="shared" si="5"/>
        <v>Sí</v>
      </c>
      <c r="N31" s="15" t="s">
        <v>132</v>
      </c>
      <c r="O31" s="14" t="s">
        <v>22</v>
      </c>
    </row>
    <row r="32" ht="22.5" customHeight="1">
      <c r="A32" s="10">
        <v>46126.65254643519</v>
      </c>
      <c r="B32" s="11">
        <f t="shared" si="1"/>
        <v>46126</v>
      </c>
      <c r="C32" s="12" t="s">
        <v>15</v>
      </c>
      <c r="D32" s="13" t="s">
        <v>133</v>
      </c>
      <c r="E32" s="13" t="s">
        <v>134</v>
      </c>
      <c r="F32" s="14">
        <v>15.0</v>
      </c>
      <c r="G32" s="15" t="s">
        <v>135</v>
      </c>
      <c r="H32" s="16" t="str">
        <f t="shared" si="2"/>
        <v>el clima </v>
      </c>
      <c r="I32" s="17" t="s">
        <v>19</v>
      </c>
      <c r="J32" s="15" t="s">
        <v>20</v>
      </c>
      <c r="K32" s="18" t="str">
        <f t="shared" si="3"/>
        <v>Sí</v>
      </c>
      <c r="L32" s="18" t="str">
        <f t="shared" si="4"/>
        <v>No</v>
      </c>
      <c r="M32" s="18" t="str">
        <f t="shared" si="5"/>
        <v>No</v>
      </c>
      <c r="N32" s="15" t="s">
        <v>136</v>
      </c>
      <c r="O32" s="14" t="s">
        <v>22</v>
      </c>
    </row>
    <row r="33" ht="22.5" customHeight="1">
      <c r="A33" s="10">
        <v>46126.653373865745</v>
      </c>
      <c r="B33" s="11">
        <f t="shared" si="1"/>
        <v>46126</v>
      </c>
      <c r="C33" s="12" t="s">
        <v>15</v>
      </c>
      <c r="D33" s="13" t="s">
        <v>137</v>
      </c>
      <c r="E33" s="13" t="s">
        <v>138</v>
      </c>
      <c r="F33" s="14">
        <v>16.0</v>
      </c>
      <c r="G33" s="15" t="s">
        <v>139</v>
      </c>
      <c r="H33" s="16" t="str">
        <f t="shared" si="2"/>
        <v>clima </v>
      </c>
      <c r="I33" s="17" t="s">
        <v>19</v>
      </c>
      <c r="J33" s="15" t="s">
        <v>55</v>
      </c>
      <c r="K33" s="18" t="str">
        <f t="shared" si="3"/>
        <v>No</v>
      </c>
      <c r="L33" s="18" t="str">
        <f t="shared" si="4"/>
        <v>No</v>
      </c>
      <c r="M33" s="18" t="str">
        <f t="shared" si="5"/>
        <v>Sí</v>
      </c>
      <c r="N33" s="15" t="s">
        <v>140</v>
      </c>
      <c r="O33" s="14" t="s">
        <v>22</v>
      </c>
    </row>
    <row r="34" ht="22.5" customHeight="1">
      <c r="A34" s="10">
        <v>46126.65381340278</v>
      </c>
      <c r="B34" s="11">
        <f t="shared" si="1"/>
        <v>46126</v>
      </c>
      <c r="C34" s="12" t="s">
        <v>15</v>
      </c>
      <c r="D34" s="13" t="s">
        <v>141</v>
      </c>
      <c r="E34" s="13" t="s">
        <v>142</v>
      </c>
      <c r="F34" s="14">
        <v>17.0</v>
      </c>
      <c r="G34" s="15" t="s">
        <v>143</v>
      </c>
      <c r="H34" s="16" t="str">
        <f t="shared" si="2"/>
        <v>un clima calido</v>
      </c>
      <c r="I34" s="17" t="s">
        <v>19</v>
      </c>
      <c r="J34" s="15" t="s">
        <v>50</v>
      </c>
      <c r="K34" s="18" t="str">
        <f t="shared" si="3"/>
        <v>No</v>
      </c>
      <c r="L34" s="18" t="str">
        <f t="shared" si="4"/>
        <v>Sí</v>
      </c>
      <c r="M34" s="18" t="str">
        <f t="shared" si="5"/>
        <v>No</v>
      </c>
      <c r="N34" s="15" t="s">
        <v>144</v>
      </c>
      <c r="O34" s="14" t="s">
        <v>22</v>
      </c>
    </row>
    <row r="35" ht="22.5" customHeight="1">
      <c r="A35" s="10">
        <v>46126.65411667824</v>
      </c>
      <c r="B35" s="11">
        <f t="shared" si="1"/>
        <v>46126</v>
      </c>
      <c r="C35" s="12" t="s">
        <v>15</v>
      </c>
      <c r="D35" s="13" t="s">
        <v>145</v>
      </c>
      <c r="E35" s="13" t="s">
        <v>146</v>
      </c>
      <c r="F35" s="14">
        <v>17.0</v>
      </c>
      <c r="G35" s="15" t="s">
        <v>147</v>
      </c>
      <c r="H35" s="16" t="str">
        <f t="shared" si="2"/>
        <v>la probabilidad de que llueva</v>
      </c>
      <c r="I35" s="17" t="s">
        <v>19</v>
      </c>
      <c r="J35" s="15" t="s">
        <v>50</v>
      </c>
      <c r="K35" s="18" t="str">
        <f t="shared" si="3"/>
        <v>No</v>
      </c>
      <c r="L35" s="18" t="str">
        <f t="shared" si="4"/>
        <v>Sí</v>
      </c>
      <c r="M35" s="18" t="str">
        <f t="shared" si="5"/>
        <v>No</v>
      </c>
      <c r="N35" s="15" t="s">
        <v>148</v>
      </c>
      <c r="O35" s="14" t="s">
        <v>22</v>
      </c>
    </row>
    <row r="36" ht="22.5" customHeight="1">
      <c r="A36" s="10">
        <v>46126.6543441088</v>
      </c>
      <c r="B36" s="11">
        <f t="shared" si="1"/>
        <v>46126</v>
      </c>
      <c r="C36" s="12" t="s">
        <v>15</v>
      </c>
      <c r="D36" s="13" t="s">
        <v>149</v>
      </c>
      <c r="E36" s="13" t="s">
        <v>150</v>
      </c>
      <c r="F36" s="14">
        <v>17.0</v>
      </c>
      <c r="G36" s="15" t="s">
        <v>151</v>
      </c>
      <c r="H36" s="16" t="str">
        <f t="shared" si="2"/>
        <v>que esta soleado y fresco </v>
      </c>
      <c r="I36" s="17" t="str">
        <f t="shared" ref="I36:I40" si="12">IF(ISNUMBER(SEARCH("lluvi", H36)), "Precipitaciones", IF(ISNUMBER(SEARCH("precipitaci", H36)), "Precipitaciones", IF(ISNUMBER(SEARCH("grad", H36)), "Temperatura", IF(ISNUMBER(SEARCH("frio", H36)), "Temperatura", IF(ISNUMBER(SEARCH("calor", H36)), "Temperatura", IF(ISNUMBER(SEARCH("sol", H36)), "Estado del Cielo", IF(ISNUMBER(SEARCH("nubla", H36)), "Estado del Cielo", IF(ISNUMBER(SEARCH("vient", H36)), "Viento y Humedad", IF(ISNUMBER(SEARCH("humed", H36)), "Viento y Humedad", "Otros")))))))))</f>
        <v>Estado del Cielo</v>
      </c>
      <c r="J36" s="15" t="s">
        <v>50</v>
      </c>
      <c r="K36" s="18" t="str">
        <f t="shared" si="3"/>
        <v>No</v>
      </c>
      <c r="L36" s="18" t="str">
        <f t="shared" si="4"/>
        <v>Sí</v>
      </c>
      <c r="M36" s="18" t="str">
        <f t="shared" si="5"/>
        <v>No</v>
      </c>
      <c r="N36" s="15" t="s">
        <v>152</v>
      </c>
      <c r="O36" s="14" t="str">
        <f>IF(ISNUMBER(SEARCH("dolor", N36)), "Salud y Bienestar", IF(ISNUMBER(SEARCH("resfria", N36)), "Salud y Bienestar", IF(ISNUMBER(SEARCH("insola", N36)), "Salud y Bienestar", IF(ISNUMBER(SEARCH("fisica", N36)), "Planificación Escolar", IF(ISNUMBER(SEARCH("futbol", N36)), "Planificación Escolar", IF(ISNUMBER(SEARCH("voley", N36)), "Planificación Escolar", IF(ISNUMBER(SEARCH("recreo", H36)), "Planificación Escolar", IF(ISNUMBER(SEARCH("sombra", H36)), "Gestión de Recursos", IF(ISNUMBER(SEARCH("arbol", H36)), "Gestión de Recursos", IF(ISNUMBER(SEARCH("compu", H36)), "Gestión de Recursos", IF(ISNUMBER(SEARCH("vestimenta", H36)), "Logística y Vestimenta", IF(ISNUMBER(SEARCH("ropa", H36)), "Logística y Vestimenta", IF(ISNUMBER(SEARCH("ambient", H36)), "Conciencia Ambiental", IF(ISNUMBER(SEARCH("carbono", H36)), "Conciencia Ambiental", "Otros"))))))))))))))</f>
        <v>Salud y Bienestar</v>
      </c>
    </row>
    <row r="37" ht="22.5" customHeight="1">
      <c r="A37" s="10">
        <v>46126.67921350694</v>
      </c>
      <c r="B37" s="11">
        <f t="shared" si="1"/>
        <v>46126</v>
      </c>
      <c r="C37" s="12" t="s">
        <v>15</v>
      </c>
      <c r="D37" s="13" t="s">
        <v>153</v>
      </c>
      <c r="E37" s="13" t="s">
        <v>154</v>
      </c>
      <c r="F37" s="14">
        <v>13.0</v>
      </c>
      <c r="G37" s="15" t="s">
        <v>155</v>
      </c>
      <c r="H37" s="16" t="str">
        <f t="shared" si="2"/>
        <v>probabilidad de lluvias y temperaturas</v>
      </c>
      <c r="I37" s="17" t="str">
        <f t="shared" si="12"/>
        <v>Precipitaciones</v>
      </c>
      <c r="J37" s="15" t="s">
        <v>55</v>
      </c>
      <c r="K37" s="18" t="str">
        <f t="shared" si="3"/>
        <v>No</v>
      </c>
      <c r="L37" s="18" t="str">
        <f t="shared" si="4"/>
        <v>No</v>
      </c>
      <c r="M37" s="18" t="str">
        <f t="shared" si="5"/>
        <v>Sí</v>
      </c>
      <c r="N37" s="15" t="s">
        <v>156</v>
      </c>
      <c r="O37" s="14" t="s">
        <v>22</v>
      </c>
    </row>
    <row r="38" ht="22.5" customHeight="1">
      <c r="A38" s="10">
        <v>46126.68204275463</v>
      </c>
      <c r="B38" s="11">
        <f t="shared" si="1"/>
        <v>46126</v>
      </c>
      <c r="C38" s="12" t="s">
        <v>15</v>
      </c>
      <c r="D38" s="13" t="s">
        <v>157</v>
      </c>
      <c r="E38" s="13" t="s">
        <v>158</v>
      </c>
      <c r="F38" s="14">
        <v>13.0</v>
      </c>
      <c r="G38" s="15" t="s">
        <v>159</v>
      </c>
      <c r="H38" s="16" t="str">
        <f t="shared" si="2"/>
        <v>lluvia</v>
      </c>
      <c r="I38" s="17" t="str">
        <f t="shared" si="12"/>
        <v>Precipitaciones</v>
      </c>
      <c r="J38" s="15" t="s">
        <v>50</v>
      </c>
      <c r="K38" s="18" t="str">
        <f t="shared" si="3"/>
        <v>No</v>
      </c>
      <c r="L38" s="18" t="str">
        <f t="shared" si="4"/>
        <v>Sí</v>
      </c>
      <c r="M38" s="18" t="str">
        <f t="shared" si="5"/>
        <v>No</v>
      </c>
      <c r="N38" s="15" t="s">
        <v>160</v>
      </c>
      <c r="O38" s="14" t="s">
        <v>22</v>
      </c>
    </row>
    <row r="39" ht="22.5" customHeight="1">
      <c r="A39" s="10">
        <v>46126.684065856476</v>
      </c>
      <c r="B39" s="11">
        <f t="shared" si="1"/>
        <v>46126</v>
      </c>
      <c r="C39" s="12" t="s">
        <v>15</v>
      </c>
      <c r="D39" s="13" t="s">
        <v>161</v>
      </c>
      <c r="E39" s="13" t="s">
        <v>162</v>
      </c>
      <c r="F39" s="14">
        <v>13.0</v>
      </c>
      <c r="G39" s="15" t="s">
        <v>163</v>
      </c>
      <c r="H39" s="16" t="str">
        <f t="shared" si="2"/>
        <v>si está soleado o lluvioso </v>
      </c>
      <c r="I39" s="17" t="str">
        <f t="shared" si="12"/>
        <v>Precipitaciones</v>
      </c>
      <c r="J39" s="15" t="s">
        <v>55</v>
      </c>
      <c r="K39" s="18" t="str">
        <f t="shared" si="3"/>
        <v>No</v>
      </c>
      <c r="L39" s="18" t="str">
        <f t="shared" si="4"/>
        <v>No</v>
      </c>
      <c r="M39" s="18" t="str">
        <f t="shared" si="5"/>
        <v>Sí</v>
      </c>
      <c r="N39" s="15" t="s">
        <v>164</v>
      </c>
      <c r="O39" s="14" t="s">
        <v>22</v>
      </c>
    </row>
    <row r="40" ht="22.5" customHeight="1">
      <c r="A40" s="10">
        <v>46126.68483056713</v>
      </c>
      <c r="B40" s="11">
        <f t="shared" si="1"/>
        <v>46126</v>
      </c>
      <c r="C40" s="12" t="s">
        <v>15</v>
      </c>
      <c r="D40" s="13" t="s">
        <v>165</v>
      </c>
      <c r="E40" s="13" t="s">
        <v>166</v>
      </c>
      <c r="F40" s="14">
        <v>13.0</v>
      </c>
      <c r="G40" s="15" t="s">
        <v>167</v>
      </c>
      <c r="H40" s="16" t="str">
        <f t="shared" si="2"/>
        <v>un día soleado</v>
      </c>
      <c r="I40" s="17" t="str">
        <f t="shared" si="12"/>
        <v>Estado del Cielo</v>
      </c>
      <c r="J40" s="15" t="s">
        <v>60</v>
      </c>
      <c r="K40" s="18" t="str">
        <f t="shared" si="3"/>
        <v>Sí</v>
      </c>
      <c r="L40" s="18" t="str">
        <f t="shared" si="4"/>
        <v>Sí</v>
      </c>
      <c r="M40" s="18" t="str">
        <f t="shared" si="5"/>
        <v>Sí</v>
      </c>
      <c r="N40" s="15" t="s">
        <v>168</v>
      </c>
      <c r="O40" s="14" t="s">
        <v>22</v>
      </c>
    </row>
    <row r="41" ht="22.5" customHeight="1">
      <c r="A41" s="10">
        <v>46126.691506620366</v>
      </c>
      <c r="B41" s="11">
        <f t="shared" si="1"/>
        <v>46126</v>
      </c>
      <c r="C41" s="12" t="s">
        <v>15</v>
      </c>
      <c r="D41" s="13" t="s">
        <v>169</v>
      </c>
      <c r="E41" s="13" t="s">
        <v>170</v>
      </c>
      <c r="F41" s="14">
        <v>13.0</v>
      </c>
      <c r="G41" s="15" t="s">
        <v>171</v>
      </c>
      <c r="H41" s="16" t="str">
        <f t="shared" si="2"/>
        <v>la app de clima, es muy completa 
</v>
      </c>
      <c r="I41" s="17" t="s">
        <v>19</v>
      </c>
      <c r="J41" s="15" t="s">
        <v>60</v>
      </c>
      <c r="K41" s="18" t="str">
        <f t="shared" si="3"/>
        <v>Sí</v>
      </c>
      <c r="L41" s="18" t="str">
        <f t="shared" si="4"/>
        <v>Sí</v>
      </c>
      <c r="M41" s="18" t="str">
        <f t="shared" si="5"/>
        <v>Sí</v>
      </c>
      <c r="N41" s="15" t="s">
        <v>172</v>
      </c>
      <c r="O41" s="14" t="s">
        <v>22</v>
      </c>
    </row>
    <row r="42" ht="22.5" customHeight="1">
      <c r="A42" s="10">
        <v>46126.69316747686</v>
      </c>
      <c r="B42" s="11">
        <f t="shared" si="1"/>
        <v>46126</v>
      </c>
      <c r="C42" s="12" t="s">
        <v>15</v>
      </c>
      <c r="D42" s="13" t="s">
        <v>173</v>
      </c>
      <c r="E42" s="13" t="s">
        <v>174</v>
      </c>
      <c r="F42" s="14">
        <v>13.0</v>
      </c>
      <c r="G42" s="15" t="s">
        <v>175</v>
      </c>
      <c r="H42" s="16" t="str">
        <f t="shared" si="2"/>
        <v>el porcentaje de lluvia el porcentaje de humedad y la temperatura</v>
      </c>
      <c r="I42" s="17" t="str">
        <f>IF(ISNUMBER(SEARCH("lluvi", H42)), "Precipitaciones", IF(ISNUMBER(SEARCH("precipitaci", H42)), "Precipitaciones", IF(ISNUMBER(SEARCH("grad", H42)), "Temperatura", IF(ISNUMBER(SEARCH("frio", H42)), "Temperatura", IF(ISNUMBER(SEARCH("calor", H42)), "Temperatura", IF(ISNUMBER(SEARCH("sol", H42)), "Estado del Cielo", IF(ISNUMBER(SEARCH("nubla", H42)), "Estado del Cielo", IF(ISNUMBER(SEARCH("vient", H42)), "Viento y Humedad", IF(ISNUMBER(SEARCH("humed", H42)), "Viento y Humedad", "Otros")))))))))</f>
        <v>Precipitaciones</v>
      </c>
      <c r="J42" s="15" t="s">
        <v>20</v>
      </c>
      <c r="K42" s="18" t="str">
        <f t="shared" si="3"/>
        <v>Sí</v>
      </c>
      <c r="L42" s="18" t="str">
        <f t="shared" si="4"/>
        <v>No</v>
      </c>
      <c r="M42" s="18" t="str">
        <f t="shared" si="5"/>
        <v>No</v>
      </c>
      <c r="N42" s="15" t="s">
        <v>176</v>
      </c>
      <c r="O42" s="14" t="str">
        <f>IF(ISNUMBER(SEARCH("dolor", N42)), "Salud y Bienestar", IF(ISNUMBER(SEARCH("resfria", N42)), "Salud y Bienestar", IF(ISNUMBER(SEARCH("insola", N42)), "Salud y Bienestar", IF(ISNUMBER(SEARCH("fisica", N42)), "Planificación Escolar", IF(ISNUMBER(SEARCH("futbol", N42)), "Planificación Escolar", IF(ISNUMBER(SEARCH("voley", N42)), "Planificación Escolar", IF(ISNUMBER(SEARCH("recreo", H42)), "Planificación Escolar", IF(ISNUMBER(SEARCH("sombra", H42)), "Gestión de Recursos", IF(ISNUMBER(SEARCH("arbol", H42)), "Gestión de Recursos", IF(ISNUMBER(SEARCH("compu", H42)), "Gestión de Recursos", IF(ISNUMBER(SEARCH("vestimenta", H42)), "Logística y Vestimenta", IF(ISNUMBER(SEARCH("ropa", H42)), "Logística y Vestimenta", IF(ISNUMBER(SEARCH("ambient", H42)), "Conciencia Ambiental", IF(ISNUMBER(SEARCH("carbono", H42)), "Conciencia Ambiental", "Otros"))))))))))))))</f>
        <v>Salud y Bienestar</v>
      </c>
    </row>
    <row r="43" ht="22.5" customHeight="1">
      <c r="A43" s="10">
        <v>46126.707165879634</v>
      </c>
      <c r="B43" s="11">
        <f t="shared" si="1"/>
        <v>46126</v>
      </c>
      <c r="C43" s="12" t="s">
        <v>15</v>
      </c>
      <c r="D43" s="13" t="s">
        <v>177</v>
      </c>
      <c r="E43" s="13" t="s">
        <v>178</v>
      </c>
      <c r="F43" s="14">
        <v>13.0</v>
      </c>
      <c r="G43" s="15" t="s">
        <v>179</v>
      </c>
      <c r="H43" s="16" t="str">
        <f t="shared" si="2"/>
        <v>nose</v>
      </c>
      <c r="I43" s="17" t="s">
        <v>19</v>
      </c>
      <c r="J43" s="15" t="s">
        <v>50</v>
      </c>
      <c r="K43" s="18" t="str">
        <f t="shared" si="3"/>
        <v>No</v>
      </c>
      <c r="L43" s="18" t="str">
        <f t="shared" si="4"/>
        <v>Sí</v>
      </c>
      <c r="M43" s="18" t="str">
        <f t="shared" si="5"/>
        <v>No</v>
      </c>
      <c r="N43" s="15"/>
      <c r="O43" s="14" t="s">
        <v>22</v>
      </c>
    </row>
    <row r="44" ht="22.5" customHeight="1">
      <c r="A44" s="10">
        <v>46126.73207722222</v>
      </c>
      <c r="B44" s="11">
        <f t="shared" si="1"/>
        <v>46126</v>
      </c>
      <c r="C44" s="12" t="s">
        <v>15</v>
      </c>
      <c r="D44" s="13" t="s">
        <v>180</v>
      </c>
      <c r="E44" s="13" t="s">
        <v>181</v>
      </c>
      <c r="F44" s="14">
        <v>13.0</v>
      </c>
      <c r="G44" s="15" t="s">
        <v>182</v>
      </c>
      <c r="H44" s="16" t="str">
        <f t="shared" si="2"/>
        <v>soleado</v>
      </c>
      <c r="I44" s="17" t="str">
        <f t="shared" ref="I44:I46" si="13">IF(ISNUMBER(SEARCH("lluvi", H44)), "Precipitaciones", IF(ISNUMBER(SEARCH("precipitaci", H44)), "Precipitaciones", IF(ISNUMBER(SEARCH("grad", H44)), "Temperatura", IF(ISNUMBER(SEARCH("frio", H44)), "Temperatura", IF(ISNUMBER(SEARCH("calor", H44)), "Temperatura", IF(ISNUMBER(SEARCH("sol", H44)), "Estado del Cielo", IF(ISNUMBER(SEARCH("nubla", H44)), "Estado del Cielo", IF(ISNUMBER(SEARCH("vient", H44)), "Viento y Humedad", IF(ISNUMBER(SEARCH("humed", H44)), "Viento y Humedad", "Otros")))))))))</f>
        <v>Estado del Cielo</v>
      </c>
      <c r="J44" s="15" t="s">
        <v>127</v>
      </c>
      <c r="K44" s="18" t="str">
        <f t="shared" si="3"/>
        <v>No</v>
      </c>
      <c r="L44" s="18" t="str">
        <f t="shared" si="4"/>
        <v>Sí</v>
      </c>
      <c r="M44" s="18" t="str">
        <f t="shared" si="5"/>
        <v>Sí</v>
      </c>
      <c r="N44" s="15"/>
      <c r="O44" s="14" t="s">
        <v>22</v>
      </c>
    </row>
    <row r="45" ht="22.5" customHeight="1">
      <c r="A45" s="10">
        <v>46126.74352039352</v>
      </c>
      <c r="B45" s="11">
        <f t="shared" si="1"/>
        <v>46126</v>
      </c>
      <c r="C45" s="12" t="s">
        <v>15</v>
      </c>
      <c r="D45" s="13" t="s">
        <v>183</v>
      </c>
      <c r="E45" s="13" t="s">
        <v>184</v>
      </c>
      <c r="F45" s="14">
        <v>13.0</v>
      </c>
      <c r="G45" s="15" t="s">
        <v>185</v>
      </c>
      <c r="H45" s="16" t="str">
        <f t="shared" si="2"/>
        <v>un día soleado con un poco de viento fresco</v>
      </c>
      <c r="I45" s="17" t="str">
        <f t="shared" si="13"/>
        <v>Estado del Cielo</v>
      </c>
      <c r="J45" s="15" t="s">
        <v>55</v>
      </c>
      <c r="K45" s="18" t="str">
        <f t="shared" si="3"/>
        <v>No</v>
      </c>
      <c r="L45" s="18" t="str">
        <f t="shared" si="4"/>
        <v>No</v>
      </c>
      <c r="M45" s="18" t="str">
        <f t="shared" si="5"/>
        <v>Sí</v>
      </c>
      <c r="N45" s="15" t="s">
        <v>186</v>
      </c>
      <c r="O45" s="14" t="s">
        <v>22</v>
      </c>
    </row>
    <row r="46" ht="22.5" customHeight="1">
      <c r="A46" s="10">
        <v>46126.77492105324</v>
      </c>
      <c r="B46" s="11">
        <f t="shared" si="1"/>
        <v>46126</v>
      </c>
      <c r="C46" s="12" t="s">
        <v>15</v>
      </c>
      <c r="D46" s="13" t="s">
        <v>187</v>
      </c>
      <c r="E46" s="13" t="s">
        <v>188</v>
      </c>
      <c r="F46" s="14">
        <v>14.0</v>
      </c>
      <c r="G46" s="15" t="s">
        <v>189</v>
      </c>
      <c r="H46" s="16" t="str">
        <f t="shared" si="2"/>
        <v>asegurarme de que no llueva ni tampoco haga tanto calor.</v>
      </c>
      <c r="I46" s="17" t="str">
        <f t="shared" si="13"/>
        <v>Temperatura</v>
      </c>
      <c r="J46" s="15" t="s">
        <v>20</v>
      </c>
      <c r="K46" s="18" t="str">
        <f t="shared" si="3"/>
        <v>Sí</v>
      </c>
      <c r="L46" s="18" t="str">
        <f t="shared" si="4"/>
        <v>No</v>
      </c>
      <c r="M46" s="18" t="str">
        <f t="shared" si="5"/>
        <v>No</v>
      </c>
      <c r="N46" s="15" t="s">
        <v>190</v>
      </c>
      <c r="O46" s="14" t="s">
        <v>22</v>
      </c>
    </row>
    <row r="47" ht="22.5" customHeight="1">
      <c r="A47" s="10">
        <v>46126.78906350695</v>
      </c>
      <c r="B47" s="11">
        <f t="shared" si="1"/>
        <v>46126</v>
      </c>
      <c r="C47" s="12" t="s">
        <v>15</v>
      </c>
      <c r="D47" s="13" t="s">
        <v>191</v>
      </c>
      <c r="E47" s="13" t="s">
        <v>192</v>
      </c>
      <c r="F47" s="14">
        <v>13.0</v>
      </c>
      <c r="G47" s="15" t="s">
        <v>193</v>
      </c>
      <c r="H47" s="16" t="str">
        <f t="shared" si="2"/>
        <v>que non alla alertas meteorológicas</v>
      </c>
      <c r="I47" s="17" t="s">
        <v>19</v>
      </c>
      <c r="J47" s="15" t="s">
        <v>20</v>
      </c>
      <c r="K47" s="18" t="str">
        <f t="shared" si="3"/>
        <v>Sí</v>
      </c>
      <c r="L47" s="18" t="str">
        <f t="shared" si="4"/>
        <v>No</v>
      </c>
      <c r="M47" s="18" t="str">
        <f t="shared" si="5"/>
        <v>No</v>
      </c>
      <c r="N47" s="15" t="s">
        <v>194</v>
      </c>
      <c r="O47" s="14" t="s">
        <v>22</v>
      </c>
    </row>
    <row r="48" ht="22.5" customHeight="1">
      <c r="A48" s="10">
        <v>46126.84883831019</v>
      </c>
      <c r="B48" s="11">
        <f t="shared" si="1"/>
        <v>46126</v>
      </c>
      <c r="C48" s="12" t="s">
        <v>15</v>
      </c>
      <c r="D48" s="13" t="s">
        <v>195</v>
      </c>
      <c r="E48" s="13" t="s">
        <v>196</v>
      </c>
      <c r="F48" s="14">
        <v>18.0</v>
      </c>
      <c r="G48" s="15" t="s">
        <v>197</v>
      </c>
      <c r="H48" s="16" t="str">
        <f t="shared" si="2"/>
        <v>ninguna, todos estan en su mundo y solo quieren hacer lo que ellos quieren</v>
      </c>
      <c r="I48" s="17" t="str">
        <f t="shared" ref="I48:I49" si="14">IF(ISNUMBER(SEARCH("lluvi", H48)), "Precipitaciones", IF(ISNUMBER(SEARCH("precipitaci", H48)), "Precipitaciones", IF(ISNUMBER(SEARCH("grad", H48)), "Temperatura", IF(ISNUMBER(SEARCH("frio", H48)), "Temperatura", IF(ISNUMBER(SEARCH("calor", H48)), "Temperatura", IF(ISNUMBER(SEARCH("sol", H48)), "Estado del Cielo", IF(ISNUMBER(SEARCH("nubla", H48)), "Estado del Cielo", IF(ISNUMBER(SEARCH("vient", H48)), "Viento y Humedad", IF(ISNUMBER(SEARCH("humed", H48)), "Viento y Humedad", "Otros")))))))))</f>
        <v>Estado del Cielo</v>
      </c>
      <c r="J48" s="15" t="s">
        <v>55</v>
      </c>
      <c r="K48" s="18" t="str">
        <f t="shared" si="3"/>
        <v>No</v>
      </c>
      <c r="L48" s="18" t="str">
        <f t="shared" si="4"/>
        <v>No</v>
      </c>
      <c r="M48" s="18" t="str">
        <f t="shared" si="5"/>
        <v>Sí</v>
      </c>
      <c r="N48" s="15" t="s">
        <v>198</v>
      </c>
      <c r="O48" s="14" t="s">
        <v>22</v>
      </c>
    </row>
    <row r="49" ht="22.5" customHeight="1">
      <c r="A49" s="10">
        <v>46126.92362983796</v>
      </c>
      <c r="B49" s="11">
        <f t="shared" si="1"/>
        <v>46126</v>
      </c>
      <c r="C49" s="12" t="s">
        <v>15</v>
      </c>
      <c r="D49" s="13" t="s">
        <v>199</v>
      </c>
      <c r="E49" s="13" t="s">
        <v>200</v>
      </c>
      <c r="F49" s="14">
        <v>14.0</v>
      </c>
      <c r="G49" s="15" t="s">
        <v>201</v>
      </c>
      <c r="H49" s="16" t="str">
        <f t="shared" si="2"/>
        <v>y para mi seria q no haya lluvia o mucho frio.</v>
      </c>
      <c r="I49" s="17" t="str">
        <f t="shared" si="14"/>
        <v>Precipitaciones</v>
      </c>
      <c r="J49" s="15" t="s">
        <v>50</v>
      </c>
      <c r="K49" s="18" t="str">
        <f t="shared" si="3"/>
        <v>No</v>
      </c>
      <c r="L49" s="18" t="str">
        <f t="shared" si="4"/>
        <v>Sí</v>
      </c>
      <c r="M49" s="18" t="str">
        <f t="shared" si="5"/>
        <v>No</v>
      </c>
      <c r="N49" s="15" t="s">
        <v>202</v>
      </c>
      <c r="O49" s="14" t="s">
        <v>22</v>
      </c>
    </row>
    <row r="50" ht="22.5" customHeight="1">
      <c r="A50" s="10">
        <v>46126.94565255787</v>
      </c>
      <c r="B50" s="11">
        <f t="shared" si="1"/>
        <v>46126</v>
      </c>
      <c r="C50" s="12" t="s">
        <v>15</v>
      </c>
      <c r="D50" s="13" t="s">
        <v>203</v>
      </c>
      <c r="E50" s="13" t="s">
        <v>204</v>
      </c>
      <c r="F50" s="14">
        <v>13.0</v>
      </c>
      <c r="G50" s="15" t="s">
        <v>205</v>
      </c>
      <c r="H50" s="16" t="str">
        <f t="shared" si="2"/>
        <v>la temperatura y si llueve o no</v>
      </c>
      <c r="I50" s="17" t="s">
        <v>19</v>
      </c>
      <c r="J50" s="15" t="s">
        <v>55</v>
      </c>
      <c r="K50" s="18" t="str">
        <f t="shared" si="3"/>
        <v>No</v>
      </c>
      <c r="L50" s="18" t="str">
        <f t="shared" si="4"/>
        <v>No</v>
      </c>
      <c r="M50" s="18" t="str">
        <f t="shared" si="5"/>
        <v>Sí</v>
      </c>
      <c r="N50" s="15" t="s">
        <v>164</v>
      </c>
      <c r="O50" s="14" t="s">
        <v>22</v>
      </c>
    </row>
    <row r="51" ht="22.5" customHeight="1">
      <c r="A51" s="10">
        <v>46126.95638396991</v>
      </c>
      <c r="B51" s="11">
        <f t="shared" si="1"/>
        <v>46126</v>
      </c>
      <c r="C51" s="12" t="s">
        <v>15</v>
      </c>
      <c r="D51" s="13" t="s">
        <v>206</v>
      </c>
      <c r="E51" s="13" t="s">
        <v>207</v>
      </c>
      <c r="F51" s="14">
        <v>17.0</v>
      </c>
      <c r="G51" s="15" t="s">
        <v>208</v>
      </c>
      <c r="H51" s="16" t="str">
        <f t="shared" si="2"/>
        <v>temperatura, humedad, sens. térmica, indicador de uv, precipitación y velocidad del viento.</v>
      </c>
      <c r="I51" s="17" t="str">
        <f>IF(ISNUMBER(SEARCH("lluvi", H51)), "Precipitaciones", IF(ISNUMBER(SEARCH("precipitaci", H51)), "Precipitaciones", IF(ISNUMBER(SEARCH("grad", H51)), "Temperatura", IF(ISNUMBER(SEARCH("frio", H51)), "Temperatura", IF(ISNUMBER(SEARCH("calor", H51)), "Temperatura", IF(ISNUMBER(SEARCH("sol", H51)), "Estado del Cielo", IF(ISNUMBER(SEARCH("nubla", H51)), "Estado del Cielo", IF(ISNUMBER(SEARCH("vient", H51)), "Viento y Humedad", IF(ISNUMBER(SEARCH("humed", H51)), "Viento y Humedad", "Otros")))))))))</f>
        <v>Precipitaciones</v>
      </c>
      <c r="J51" s="15" t="s">
        <v>55</v>
      </c>
      <c r="K51" s="18" t="str">
        <f t="shared" si="3"/>
        <v>No</v>
      </c>
      <c r="L51" s="18" t="str">
        <f t="shared" si="4"/>
        <v>No</v>
      </c>
      <c r="M51" s="18" t="str">
        <f t="shared" si="5"/>
        <v>Sí</v>
      </c>
      <c r="N51" s="15" t="s">
        <v>209</v>
      </c>
      <c r="O51" s="14" t="s">
        <v>22</v>
      </c>
    </row>
    <row r="52" ht="22.5" customHeight="1">
      <c r="A52" s="10">
        <v>46126.97321456019</v>
      </c>
      <c r="B52" s="11">
        <f t="shared" si="1"/>
        <v>46126</v>
      </c>
      <c r="C52" s="12" t="s">
        <v>15</v>
      </c>
      <c r="D52" s="13" t="s">
        <v>210</v>
      </c>
      <c r="E52" s="13" t="s">
        <v>211</v>
      </c>
      <c r="F52" s="14">
        <v>13.0</v>
      </c>
      <c r="G52" s="15" t="s">
        <v>212</v>
      </c>
      <c r="H52" s="16" t="str">
        <f t="shared" si="2"/>
        <v>que me llegue una notificación </v>
      </c>
      <c r="I52" s="17" t="s">
        <v>19</v>
      </c>
      <c r="J52" s="15" t="s">
        <v>55</v>
      </c>
      <c r="K52" s="18" t="str">
        <f t="shared" si="3"/>
        <v>No</v>
      </c>
      <c r="L52" s="18" t="str">
        <f t="shared" si="4"/>
        <v>No</v>
      </c>
      <c r="M52" s="18" t="str">
        <f t="shared" si="5"/>
        <v>Sí</v>
      </c>
      <c r="N52" s="15" t="s">
        <v>213</v>
      </c>
      <c r="O52" s="14" t="s">
        <v>22</v>
      </c>
    </row>
    <row r="53" ht="22.5" customHeight="1">
      <c r="A53" s="10">
        <v>46127.38976469907</v>
      </c>
      <c r="B53" s="11">
        <f t="shared" si="1"/>
        <v>46127</v>
      </c>
      <c r="C53" s="12" t="s">
        <v>15</v>
      </c>
      <c r="D53" s="13" t="s">
        <v>214</v>
      </c>
      <c r="E53" s="13" t="s">
        <v>215</v>
      </c>
      <c r="F53" s="14">
        <v>16.0</v>
      </c>
      <c r="G53" s="15" t="s">
        <v>216</v>
      </c>
      <c r="H53" s="16" t="str">
        <f t="shared" si="2"/>
        <v>soleado o sin que llueva
</v>
      </c>
      <c r="I53" s="17" t="str">
        <f t="shared" ref="I53:I54" si="15">IF(ISNUMBER(SEARCH("lluvi", H53)), "Precipitaciones", IF(ISNUMBER(SEARCH("precipitaci", H53)), "Precipitaciones", IF(ISNUMBER(SEARCH("grad", H53)), "Temperatura", IF(ISNUMBER(SEARCH("frio", H53)), "Temperatura", IF(ISNUMBER(SEARCH("calor", H53)), "Temperatura", IF(ISNUMBER(SEARCH("sol", H53)), "Estado del Cielo", IF(ISNUMBER(SEARCH("nubla", H53)), "Estado del Cielo", IF(ISNUMBER(SEARCH("vient", H53)), "Viento y Humedad", IF(ISNUMBER(SEARCH("humed", H53)), "Viento y Humedad", "Otros")))))))))</f>
        <v>Estado del Cielo</v>
      </c>
      <c r="J53" s="15" t="s">
        <v>60</v>
      </c>
      <c r="K53" s="18" t="str">
        <f t="shared" si="3"/>
        <v>Sí</v>
      </c>
      <c r="L53" s="18" t="str">
        <f t="shared" si="4"/>
        <v>Sí</v>
      </c>
      <c r="M53" s="18" t="str">
        <f t="shared" si="5"/>
        <v>Sí</v>
      </c>
      <c r="N53" s="15" t="s">
        <v>217</v>
      </c>
      <c r="O53" s="14" t="s">
        <v>22</v>
      </c>
    </row>
    <row r="54" ht="22.5" customHeight="1">
      <c r="A54" s="10">
        <v>46127.39168880787</v>
      </c>
      <c r="B54" s="11">
        <f t="shared" si="1"/>
        <v>46127</v>
      </c>
      <c r="C54" s="12" t="s">
        <v>15</v>
      </c>
      <c r="D54" s="13" t="s">
        <v>218</v>
      </c>
      <c r="E54" s="13" t="s">
        <v>219</v>
      </c>
      <c r="F54" s="14">
        <v>17.0</v>
      </c>
      <c r="G54" s="15" t="s">
        <v>220</v>
      </c>
      <c r="H54" s="16" t="str">
        <f t="shared" si="2"/>
        <v>soleado sin probabilidad de lluvia.</v>
      </c>
      <c r="I54" s="17" t="str">
        <f t="shared" si="15"/>
        <v>Precipitaciones</v>
      </c>
      <c r="J54" s="15" t="s">
        <v>60</v>
      </c>
      <c r="K54" s="18" t="str">
        <f t="shared" si="3"/>
        <v>Sí</v>
      </c>
      <c r="L54" s="18" t="str">
        <f t="shared" si="4"/>
        <v>Sí</v>
      </c>
      <c r="M54" s="18" t="str">
        <f t="shared" si="5"/>
        <v>Sí</v>
      </c>
      <c r="N54" s="15" t="s">
        <v>221</v>
      </c>
      <c r="O54" s="14" t="s">
        <v>22</v>
      </c>
    </row>
    <row r="55" ht="22.5" customHeight="1">
      <c r="A55" s="10">
        <v>46127.39628559028</v>
      </c>
      <c r="B55" s="11">
        <f t="shared" si="1"/>
        <v>46127</v>
      </c>
      <c r="C55" s="12" t="s">
        <v>15</v>
      </c>
      <c r="D55" s="13" t="s">
        <v>222</v>
      </c>
      <c r="E55" s="13" t="s">
        <v>223</v>
      </c>
      <c r="F55" s="14">
        <v>15.0</v>
      </c>
      <c r="G55" s="15" t="s">
        <v>224</v>
      </c>
      <c r="H55" s="16" t="str">
        <f t="shared" si="2"/>
        <v>viendo el tiempo en google 
</v>
      </c>
      <c r="I55" s="17" t="s">
        <v>19</v>
      </c>
      <c r="J55" s="15" t="s">
        <v>20</v>
      </c>
      <c r="K55" s="18" t="str">
        <f t="shared" si="3"/>
        <v>Sí</v>
      </c>
      <c r="L55" s="18" t="str">
        <f t="shared" si="4"/>
        <v>No</v>
      </c>
      <c r="M55" s="18" t="str">
        <f t="shared" si="5"/>
        <v>No</v>
      </c>
      <c r="N55" s="15" t="s">
        <v>225</v>
      </c>
      <c r="O55" s="14" t="str">
        <f>IF(ISNUMBER(SEARCH("dolor", N55)), "Salud y Bienestar", IF(ISNUMBER(SEARCH("resfria", N55)), "Salud y Bienestar", IF(ISNUMBER(SEARCH("insola", N55)), "Salud y Bienestar", IF(ISNUMBER(SEARCH("fisica", N55)), "Planificación Escolar", IF(ISNUMBER(SEARCH("futbol", N55)), "Planificación Escolar", IF(ISNUMBER(SEARCH("voley", N55)), "Planificación Escolar", IF(ISNUMBER(SEARCH("recreo", H55)), "Planificación Escolar", IF(ISNUMBER(SEARCH("sombra", H55)), "Gestión de Recursos", IF(ISNUMBER(SEARCH("arbol", H55)), "Gestión de Recursos", IF(ISNUMBER(SEARCH("compu", H55)), "Gestión de Recursos", IF(ISNUMBER(SEARCH("vestimenta", H55)), "Logística y Vestimenta", IF(ISNUMBER(SEARCH("ropa", H55)), "Logística y Vestimenta", IF(ISNUMBER(SEARCH("ambient", H55)), "Conciencia Ambiental", IF(ISNUMBER(SEARCH("carbono", H55)), "Conciencia Ambiental", "Otros"))))))))))))))</f>
        <v>Salud y Bienestar</v>
      </c>
    </row>
    <row r="56" ht="22.5" customHeight="1">
      <c r="A56" s="10">
        <v>46127.39645018519</v>
      </c>
      <c r="B56" s="11">
        <f t="shared" si="1"/>
        <v>46127</v>
      </c>
      <c r="C56" s="12" t="s">
        <v>15</v>
      </c>
      <c r="D56" s="13" t="s">
        <v>226</v>
      </c>
      <c r="E56" s="13" t="s">
        <v>227</v>
      </c>
      <c r="F56" s="14">
        <v>16.0</v>
      </c>
      <c r="G56" s="15" t="s">
        <v>228</v>
      </c>
      <c r="H56" s="16" t="str">
        <f t="shared" si="2"/>
        <v>si hay probabilidad de lluvia o no </v>
      </c>
      <c r="I56" s="17" t="str">
        <f>IF(ISNUMBER(SEARCH("lluvi", H56)), "Precipitaciones", IF(ISNUMBER(SEARCH("precipitaci", H56)), "Precipitaciones", IF(ISNUMBER(SEARCH("grad", H56)), "Temperatura", IF(ISNUMBER(SEARCH("frio", H56)), "Temperatura", IF(ISNUMBER(SEARCH("calor", H56)), "Temperatura", IF(ISNUMBER(SEARCH("sol", H56)), "Estado del Cielo", IF(ISNUMBER(SEARCH("nubla", H56)), "Estado del Cielo", IF(ISNUMBER(SEARCH("vient", H56)), "Viento y Humedad", IF(ISNUMBER(SEARCH("humed", H56)), "Viento y Humedad", "Otros")))))))))</f>
        <v>Precipitaciones</v>
      </c>
      <c r="J56" s="15" t="s">
        <v>50</v>
      </c>
      <c r="K56" s="18" t="str">
        <f t="shared" si="3"/>
        <v>No</v>
      </c>
      <c r="L56" s="18" t="str">
        <f t="shared" si="4"/>
        <v>Sí</v>
      </c>
      <c r="M56" s="18" t="str">
        <f t="shared" si="5"/>
        <v>No</v>
      </c>
      <c r="N56" s="15" t="s">
        <v>229</v>
      </c>
      <c r="O56" s="14" t="s">
        <v>22</v>
      </c>
    </row>
    <row r="57" ht="22.5" customHeight="1">
      <c r="A57" s="10">
        <v>46127.397701504626</v>
      </c>
      <c r="B57" s="11">
        <f t="shared" si="1"/>
        <v>46127</v>
      </c>
      <c r="C57" s="12" t="s">
        <v>15</v>
      </c>
      <c r="D57" s="13" t="s">
        <v>230</v>
      </c>
      <c r="E57" s="13" t="s">
        <v>231</v>
      </c>
      <c r="F57" s="14">
        <v>15.0</v>
      </c>
      <c r="G57" s="15" t="s">
        <v>232</v>
      </c>
      <c r="H57" s="16" t="str">
        <f t="shared" si="2"/>
        <v>que haga buen clima</v>
      </c>
      <c r="I57" s="17" t="s">
        <v>19</v>
      </c>
      <c r="J57" s="15" t="s">
        <v>55</v>
      </c>
      <c r="K57" s="18" t="str">
        <f t="shared" si="3"/>
        <v>No</v>
      </c>
      <c r="L57" s="18" t="str">
        <f t="shared" si="4"/>
        <v>No</v>
      </c>
      <c r="M57" s="18" t="str">
        <f t="shared" si="5"/>
        <v>Sí</v>
      </c>
      <c r="N57" s="15" t="s">
        <v>233</v>
      </c>
      <c r="O57" s="14" t="s">
        <v>22</v>
      </c>
    </row>
    <row r="58" ht="22.5" customHeight="1">
      <c r="A58" s="10">
        <v>46127.39808594907</v>
      </c>
      <c r="B58" s="11">
        <f t="shared" si="1"/>
        <v>46127</v>
      </c>
      <c r="C58" s="12" t="s">
        <v>15</v>
      </c>
      <c r="D58" s="13" t="s">
        <v>234</v>
      </c>
      <c r="E58" s="13" t="s">
        <v>235</v>
      </c>
      <c r="F58" s="14">
        <v>15.0</v>
      </c>
      <c r="G58" s="15" t="s">
        <v>236</v>
      </c>
      <c r="H58" s="16" t="str">
        <f t="shared" si="2"/>
        <v>tenuamente nublado </v>
      </c>
      <c r="I58" s="17" t="str">
        <f>IF(ISNUMBER(SEARCH("lluvi", H58)), "Precipitaciones", IF(ISNUMBER(SEARCH("precipitaci", H58)), "Precipitaciones", IF(ISNUMBER(SEARCH("grad", H58)), "Temperatura", IF(ISNUMBER(SEARCH("frio", H58)), "Temperatura", IF(ISNUMBER(SEARCH("calor", H58)), "Temperatura", IF(ISNUMBER(SEARCH("sol", H58)), "Estado del Cielo", IF(ISNUMBER(SEARCH("nubla", H58)), "Estado del Cielo", IF(ISNUMBER(SEARCH("vient", H58)), "Viento y Humedad", IF(ISNUMBER(SEARCH("humed", H58)), "Viento y Humedad", "Otros")))))))))</f>
        <v>Estado del Cielo</v>
      </c>
      <c r="J58" s="15" t="s">
        <v>127</v>
      </c>
      <c r="K58" s="18" t="str">
        <f t="shared" si="3"/>
        <v>No</v>
      </c>
      <c r="L58" s="18" t="str">
        <f t="shared" si="4"/>
        <v>Sí</v>
      </c>
      <c r="M58" s="18" t="str">
        <f t="shared" si="5"/>
        <v>Sí</v>
      </c>
      <c r="N58" s="15" t="s">
        <v>237</v>
      </c>
      <c r="O58" s="14" t="s">
        <v>22</v>
      </c>
    </row>
    <row r="59" ht="22.5" customHeight="1">
      <c r="A59" s="10">
        <v>46127.398887118055</v>
      </c>
      <c r="B59" s="11">
        <f t="shared" si="1"/>
        <v>46127</v>
      </c>
      <c r="C59" s="12" t="s">
        <v>15</v>
      </c>
      <c r="D59" s="13" t="s">
        <v>238</v>
      </c>
      <c r="E59" s="13" t="s">
        <v>239</v>
      </c>
      <c r="F59" s="14">
        <v>15.0</v>
      </c>
      <c r="G59" s="15" t="s">
        <v>240</v>
      </c>
      <c r="H59" s="16" t="str">
        <f t="shared" si="2"/>
        <v>que no llueva</v>
      </c>
      <c r="I59" s="17" t="s">
        <v>19</v>
      </c>
      <c r="J59" s="15" t="s">
        <v>20</v>
      </c>
      <c r="K59" s="18" t="str">
        <f t="shared" si="3"/>
        <v>Sí</v>
      </c>
      <c r="L59" s="18" t="str">
        <f t="shared" si="4"/>
        <v>No</v>
      </c>
      <c r="M59" s="18" t="str">
        <f t="shared" si="5"/>
        <v>No</v>
      </c>
      <c r="N59" s="15" t="s">
        <v>241</v>
      </c>
      <c r="O59" s="14" t="s">
        <v>22</v>
      </c>
    </row>
    <row r="60" ht="22.5" customHeight="1">
      <c r="A60" s="10">
        <v>46127.39902824074</v>
      </c>
      <c r="B60" s="11">
        <f t="shared" si="1"/>
        <v>46127</v>
      </c>
      <c r="C60" s="12" t="s">
        <v>15</v>
      </c>
      <c r="D60" s="13" t="s">
        <v>242</v>
      </c>
      <c r="E60" s="13" t="s">
        <v>243</v>
      </c>
      <c r="F60" s="14">
        <v>15.0</v>
      </c>
      <c r="G60" s="15" t="s">
        <v>244</v>
      </c>
      <c r="H60" s="16" t="str">
        <f t="shared" si="2"/>
        <v>que no llueva y no está muy frío </v>
      </c>
      <c r="I60" s="17" t="s">
        <v>19</v>
      </c>
      <c r="J60" s="15" t="s">
        <v>55</v>
      </c>
      <c r="K60" s="18" t="str">
        <f t="shared" si="3"/>
        <v>No</v>
      </c>
      <c r="L60" s="18" t="str">
        <f t="shared" si="4"/>
        <v>No</v>
      </c>
      <c r="M60" s="18" t="str">
        <f t="shared" si="5"/>
        <v>Sí</v>
      </c>
      <c r="N60" s="15" t="s">
        <v>245</v>
      </c>
      <c r="O60" s="14" t="s">
        <v>22</v>
      </c>
    </row>
    <row r="61" ht="22.5" customHeight="1">
      <c r="A61" s="10">
        <v>46127.39925796296</v>
      </c>
      <c r="B61" s="11">
        <f t="shared" si="1"/>
        <v>46127</v>
      </c>
      <c r="C61" s="12" t="s">
        <v>15</v>
      </c>
      <c r="D61" s="13" t="s">
        <v>246</v>
      </c>
      <c r="E61" s="13" t="s">
        <v>247</v>
      </c>
      <c r="F61" s="14">
        <v>15.0</v>
      </c>
      <c r="G61" s="15" t="s">
        <v>248</v>
      </c>
      <c r="H61" s="16" t="str">
        <f t="shared" si="2"/>
        <v>un clima nublado pero sin lluvia</v>
      </c>
      <c r="I61" s="17" t="str">
        <f>IF(ISNUMBER(SEARCH("lluvi", H61)), "Precipitaciones", IF(ISNUMBER(SEARCH("precipitaci", H61)), "Precipitaciones", IF(ISNUMBER(SEARCH("grad", H61)), "Temperatura", IF(ISNUMBER(SEARCH("frio", H61)), "Temperatura", IF(ISNUMBER(SEARCH("calor", H61)), "Temperatura", IF(ISNUMBER(SEARCH("sol", H61)), "Estado del Cielo", IF(ISNUMBER(SEARCH("nubla", H61)), "Estado del Cielo", IF(ISNUMBER(SEARCH("vient", H61)), "Viento y Humedad", IF(ISNUMBER(SEARCH("humed", H61)), "Viento y Humedad", "Otros")))))))))</f>
        <v>Precipitaciones</v>
      </c>
      <c r="J61" s="15" t="s">
        <v>20</v>
      </c>
      <c r="K61" s="18" t="str">
        <f t="shared" si="3"/>
        <v>Sí</v>
      </c>
      <c r="L61" s="18" t="str">
        <f t="shared" si="4"/>
        <v>No</v>
      </c>
      <c r="M61" s="18" t="str">
        <f t="shared" si="5"/>
        <v>No</v>
      </c>
      <c r="N61" s="15" t="s">
        <v>249</v>
      </c>
      <c r="O61" s="14" t="str">
        <f>IF(ISNUMBER(SEARCH("dolor", N61)), "Salud y Bienestar", IF(ISNUMBER(SEARCH("resfria", N61)), "Salud y Bienestar", IF(ISNUMBER(SEARCH("insola", N61)), "Salud y Bienestar", IF(ISNUMBER(SEARCH("fisica", N61)), "Planificación Escolar", IF(ISNUMBER(SEARCH("futbol", N61)), "Planificación Escolar", IF(ISNUMBER(SEARCH("voley", N61)), "Planificación Escolar", IF(ISNUMBER(SEARCH("recreo", H61)), "Planificación Escolar", IF(ISNUMBER(SEARCH("sombra", H61)), "Gestión de Recursos", IF(ISNUMBER(SEARCH("arbol", H61)), "Gestión de Recursos", IF(ISNUMBER(SEARCH("compu", H61)), "Gestión de Recursos", IF(ISNUMBER(SEARCH("vestimenta", H61)), "Logística y Vestimenta", IF(ISNUMBER(SEARCH("ropa", H61)), "Logística y Vestimenta", IF(ISNUMBER(SEARCH("ambient", H61)), "Conciencia Ambiental", IF(ISNUMBER(SEARCH("carbono", H61)), "Conciencia Ambiental", "Otros"))))))))))))))</f>
        <v>Salud y Bienestar</v>
      </c>
    </row>
    <row r="62" ht="22.5" customHeight="1">
      <c r="A62" s="10">
        <v>46127.39925939815</v>
      </c>
      <c r="B62" s="11">
        <f t="shared" si="1"/>
        <v>46127</v>
      </c>
      <c r="C62" s="12" t="s">
        <v>15</v>
      </c>
      <c r="D62" s="13" t="s">
        <v>169</v>
      </c>
      <c r="E62" s="13" t="s">
        <v>250</v>
      </c>
      <c r="F62" s="14">
        <v>13.0</v>
      </c>
      <c r="G62" s="15" t="s">
        <v>251</v>
      </c>
      <c r="H62" s="16" t="str">
        <f t="shared" si="2"/>
        <v>la app del clima del celular</v>
      </c>
      <c r="I62" s="17" t="s">
        <v>19</v>
      </c>
      <c r="J62" s="15" t="s">
        <v>50</v>
      </c>
      <c r="K62" s="18" t="str">
        <f t="shared" si="3"/>
        <v>No</v>
      </c>
      <c r="L62" s="18" t="str">
        <f t="shared" si="4"/>
        <v>Sí</v>
      </c>
      <c r="M62" s="18" t="str">
        <f t="shared" si="5"/>
        <v>No</v>
      </c>
      <c r="N62" s="15" t="s">
        <v>252</v>
      </c>
      <c r="O62" s="14" t="s">
        <v>22</v>
      </c>
    </row>
    <row r="63" ht="22.5" customHeight="1">
      <c r="A63" s="10">
        <v>46127.39936241898</v>
      </c>
      <c r="B63" s="11">
        <f t="shared" si="1"/>
        <v>46127</v>
      </c>
      <c r="C63" s="12" t="s">
        <v>15</v>
      </c>
      <c r="D63" s="13" t="s">
        <v>253</v>
      </c>
      <c r="E63" s="13" t="s">
        <v>254</v>
      </c>
      <c r="F63" s="14">
        <v>15.0</v>
      </c>
      <c r="G63" s="15" t="s">
        <v>255</v>
      </c>
      <c r="H63" s="16" t="str">
        <f t="shared" si="2"/>
        <v>que el día esté despejado y sin lluvia </v>
      </c>
      <c r="I63" s="17" t="str">
        <f>IF(ISNUMBER(SEARCH("lluvi", H63)), "Precipitaciones", IF(ISNUMBER(SEARCH("precipitaci", H63)), "Precipitaciones", IF(ISNUMBER(SEARCH("grad", H63)), "Temperatura", IF(ISNUMBER(SEARCH("frio", H63)), "Temperatura", IF(ISNUMBER(SEARCH("calor", H63)), "Temperatura", IF(ISNUMBER(SEARCH("sol", H63)), "Estado del Cielo", IF(ISNUMBER(SEARCH("nubla", H63)), "Estado del Cielo", IF(ISNUMBER(SEARCH("vient", H63)), "Viento y Humedad", IF(ISNUMBER(SEARCH("humed", H63)), "Viento y Humedad", "Otros")))))))))</f>
        <v>Precipitaciones</v>
      </c>
      <c r="J63" s="15" t="s">
        <v>55</v>
      </c>
      <c r="K63" s="18" t="str">
        <f t="shared" si="3"/>
        <v>No</v>
      </c>
      <c r="L63" s="18" t="str">
        <f t="shared" si="4"/>
        <v>No</v>
      </c>
      <c r="M63" s="18" t="str">
        <f t="shared" si="5"/>
        <v>Sí</v>
      </c>
      <c r="N63" s="15" t="s">
        <v>256</v>
      </c>
      <c r="O63" s="14" t="str">
        <f>IF(ISNUMBER(SEARCH("dolor", N63)), "Salud y Bienestar", IF(ISNUMBER(SEARCH("resfria", N63)), "Salud y Bienestar", IF(ISNUMBER(SEARCH("insola", N63)), "Salud y Bienestar", IF(ISNUMBER(SEARCH("fisica", N63)), "Planificación Escolar", IF(ISNUMBER(SEARCH("futbol", N63)), "Planificación Escolar", IF(ISNUMBER(SEARCH("voley", N63)), "Planificación Escolar", IF(ISNUMBER(SEARCH("recreo", H63)), "Planificación Escolar", IF(ISNUMBER(SEARCH("sombra", H63)), "Gestión de Recursos", IF(ISNUMBER(SEARCH("arbol", H63)), "Gestión de Recursos", IF(ISNUMBER(SEARCH("compu", H63)), "Gestión de Recursos", IF(ISNUMBER(SEARCH("vestimenta", H63)), "Logística y Vestimenta", IF(ISNUMBER(SEARCH("ropa", H63)), "Logística y Vestimenta", IF(ISNUMBER(SEARCH("ambient", H63)), "Conciencia Ambiental", IF(ISNUMBER(SEARCH("carbono", H63)), "Conciencia Ambiental", "Otros"))))))))))))))</f>
        <v>Salud y Bienestar</v>
      </c>
    </row>
    <row r="64" ht="22.5" customHeight="1">
      <c r="A64" s="10">
        <v>46127.39954266204</v>
      </c>
      <c r="B64" s="11">
        <f t="shared" si="1"/>
        <v>46127</v>
      </c>
      <c r="C64" s="12" t="s">
        <v>15</v>
      </c>
      <c r="D64" s="13" t="s">
        <v>257</v>
      </c>
      <c r="E64" s="13" t="s">
        <v>258</v>
      </c>
      <c r="F64" s="14">
        <v>13.0</v>
      </c>
      <c r="G64" s="15" t="s">
        <v>259</v>
      </c>
      <c r="H64" s="16" t="str">
        <f t="shared" si="2"/>
        <v>el clima </v>
      </c>
      <c r="I64" s="17" t="s">
        <v>19</v>
      </c>
      <c r="J64" s="15" t="s">
        <v>20</v>
      </c>
      <c r="K64" s="18" t="str">
        <f t="shared" si="3"/>
        <v>Sí</v>
      </c>
      <c r="L64" s="18" t="str">
        <f t="shared" si="4"/>
        <v>No</v>
      </c>
      <c r="M64" s="18" t="str">
        <f t="shared" si="5"/>
        <v>No</v>
      </c>
      <c r="N64" s="15" t="s">
        <v>260</v>
      </c>
      <c r="O64" s="14" t="s">
        <v>22</v>
      </c>
    </row>
    <row r="65" ht="22.5" customHeight="1">
      <c r="A65" s="10">
        <v>46127.399870520836</v>
      </c>
      <c r="B65" s="11">
        <f t="shared" si="1"/>
        <v>46127</v>
      </c>
      <c r="C65" s="12" t="s">
        <v>15</v>
      </c>
      <c r="D65" s="13" t="s">
        <v>261</v>
      </c>
      <c r="E65" s="13" t="s">
        <v>262</v>
      </c>
      <c r="F65" s="14">
        <v>12.0</v>
      </c>
      <c r="G65" s="15" t="s">
        <v>263</v>
      </c>
      <c r="H65" s="16" t="str">
        <f t="shared" si="2"/>
        <v>q hiciera treinta grados</v>
      </c>
      <c r="I65" s="17" t="str">
        <f>IF(ISNUMBER(SEARCH("lluvi", H65)), "Precipitaciones", IF(ISNUMBER(SEARCH("precipitaci", H65)), "Precipitaciones", IF(ISNUMBER(SEARCH("grad", H65)), "Temperatura", IF(ISNUMBER(SEARCH("frio", H65)), "Temperatura", IF(ISNUMBER(SEARCH("calor", H65)), "Temperatura", IF(ISNUMBER(SEARCH("sol", H65)), "Estado del Cielo", IF(ISNUMBER(SEARCH("nubla", H65)), "Estado del Cielo", IF(ISNUMBER(SEARCH("vient", H65)), "Viento y Humedad", IF(ISNUMBER(SEARCH("humed", H65)), "Viento y Humedad", "Otros")))))))))</f>
        <v>Temperatura</v>
      </c>
      <c r="J65" s="15" t="s">
        <v>20</v>
      </c>
      <c r="K65" s="18" t="str">
        <f t="shared" si="3"/>
        <v>Sí</v>
      </c>
      <c r="L65" s="18" t="str">
        <f t="shared" si="4"/>
        <v>No</v>
      </c>
      <c r="M65" s="18" t="str">
        <f t="shared" si="5"/>
        <v>No</v>
      </c>
      <c r="N65" s="15" t="s">
        <v>264</v>
      </c>
      <c r="O65" s="14" t="str">
        <f t="shared" ref="O65:O68" si="16">IF(ISNUMBER(SEARCH("dolor", N65)), "Salud y Bienestar", IF(ISNUMBER(SEARCH("resfria", N65)), "Salud y Bienestar", IF(ISNUMBER(SEARCH("insola", N65)), "Salud y Bienestar", IF(ISNUMBER(SEARCH("fisica", N65)), "Planificación Escolar", IF(ISNUMBER(SEARCH("futbol", N65)), "Planificación Escolar", IF(ISNUMBER(SEARCH("voley", N65)), "Planificación Escolar", IF(ISNUMBER(SEARCH("recreo", H65)), "Planificación Escolar", IF(ISNUMBER(SEARCH("sombra", H65)), "Gestión de Recursos", IF(ISNUMBER(SEARCH("arbol", H65)), "Gestión de Recursos", IF(ISNUMBER(SEARCH("compu", H65)), "Gestión de Recursos", IF(ISNUMBER(SEARCH("vestimenta", H65)), "Logística y Vestimenta", IF(ISNUMBER(SEARCH("ropa", H65)), "Logística y Vestimenta", IF(ISNUMBER(SEARCH("ambient", H65)), "Conciencia Ambiental", IF(ISNUMBER(SEARCH("carbono", H65)), "Conciencia Ambiental", "Otros"))))))))))))))</f>
        <v>Planificación Escolar</v>
      </c>
    </row>
    <row r="66" ht="22.5" customHeight="1">
      <c r="A66" s="20">
        <v>46127.40018277778</v>
      </c>
      <c r="B66" s="11">
        <f t="shared" si="1"/>
        <v>46127</v>
      </c>
      <c r="C66" s="12" t="s">
        <v>15</v>
      </c>
      <c r="D66" s="21" t="s">
        <v>265</v>
      </c>
      <c r="E66" s="21" t="s">
        <v>266</v>
      </c>
      <c r="F66" s="22">
        <v>13.0</v>
      </c>
      <c r="G66" s="23" t="s">
        <v>267</v>
      </c>
      <c r="H66" s="16" t="str">
        <f t="shared" si="2"/>
        <v>el porcentaje de la probabilidad </v>
      </c>
      <c r="I66" s="17" t="s">
        <v>19</v>
      </c>
      <c r="J66" s="23" t="s">
        <v>50</v>
      </c>
      <c r="K66" s="18" t="str">
        <f t="shared" si="3"/>
        <v>No</v>
      </c>
      <c r="L66" s="18" t="str">
        <f t="shared" si="4"/>
        <v>Sí</v>
      </c>
      <c r="M66" s="18" t="str">
        <f t="shared" si="5"/>
        <v>No</v>
      </c>
      <c r="N66" s="23" t="s">
        <v>268</v>
      </c>
      <c r="O66" s="14" t="str">
        <f t="shared" si="16"/>
        <v>Salud y Bienestar</v>
      </c>
    </row>
    <row r="67" ht="22.5" customHeight="1">
      <c r="A67" s="20">
        <v>46127.40021234954</v>
      </c>
      <c r="B67" s="11">
        <f t="shared" si="1"/>
        <v>46127</v>
      </c>
      <c r="C67" s="12" t="s">
        <v>15</v>
      </c>
      <c r="D67" s="21" t="s">
        <v>269</v>
      </c>
      <c r="E67" s="21" t="s">
        <v>270</v>
      </c>
      <c r="F67" s="22">
        <v>15.0</v>
      </c>
      <c r="G67" s="23" t="s">
        <v>271</v>
      </c>
      <c r="H67" s="16" t="str">
        <f t="shared" si="2"/>
        <v>que no esté lluvioso el día </v>
      </c>
      <c r="I67" s="17" t="str">
        <f t="shared" ref="I67:I75" si="17">IF(ISNUMBER(SEARCH("lluvi", H67)), "Precipitaciones", IF(ISNUMBER(SEARCH("precipitaci", H67)), "Precipitaciones", IF(ISNUMBER(SEARCH("grad", H67)), "Temperatura", IF(ISNUMBER(SEARCH("frio", H67)), "Temperatura", IF(ISNUMBER(SEARCH("calor", H67)), "Temperatura", IF(ISNUMBER(SEARCH("sol", H67)), "Estado del Cielo", IF(ISNUMBER(SEARCH("nubla", H67)), "Estado del Cielo", IF(ISNUMBER(SEARCH("vient", H67)), "Viento y Humedad", IF(ISNUMBER(SEARCH("humed", H67)), "Viento y Humedad", "Otros")))))))))</f>
        <v>Precipitaciones</v>
      </c>
      <c r="J67" s="23" t="s">
        <v>20</v>
      </c>
      <c r="K67" s="18" t="str">
        <f t="shared" si="3"/>
        <v>Sí</v>
      </c>
      <c r="L67" s="18" t="str">
        <f t="shared" si="4"/>
        <v>No</v>
      </c>
      <c r="M67" s="18" t="str">
        <f t="shared" si="5"/>
        <v>No</v>
      </c>
      <c r="N67" s="23" t="s">
        <v>272</v>
      </c>
      <c r="O67" s="14" t="str">
        <f t="shared" si="16"/>
        <v>Salud y Bienestar</v>
      </c>
    </row>
    <row r="68" ht="22.5" customHeight="1">
      <c r="A68" s="20">
        <v>46127.40029769676</v>
      </c>
      <c r="B68" s="11">
        <f t="shared" si="1"/>
        <v>46127</v>
      </c>
      <c r="C68" s="12" t="s">
        <v>15</v>
      </c>
      <c r="D68" s="21" t="s">
        <v>273</v>
      </c>
      <c r="E68" s="21" t="s">
        <v>274</v>
      </c>
      <c r="F68" s="22">
        <v>12.0</v>
      </c>
      <c r="G68" s="23" t="s">
        <v>275</v>
      </c>
      <c r="H68" s="16" t="str">
        <f t="shared" si="2"/>
        <v>tendría que hacer veinte y cinco grados . principal mente sombra</v>
      </c>
      <c r="I68" s="17" t="str">
        <f t="shared" si="17"/>
        <v>Temperatura</v>
      </c>
      <c r="J68" s="23" t="s">
        <v>55</v>
      </c>
      <c r="K68" s="18" t="str">
        <f t="shared" si="3"/>
        <v>No</v>
      </c>
      <c r="L68" s="18" t="str">
        <f t="shared" si="4"/>
        <v>No</v>
      </c>
      <c r="M68" s="18" t="str">
        <f t="shared" si="5"/>
        <v>Sí</v>
      </c>
      <c r="N68" s="23" t="s">
        <v>276</v>
      </c>
      <c r="O68" s="14" t="str">
        <f t="shared" si="16"/>
        <v>Planificación Escolar</v>
      </c>
    </row>
    <row r="69" ht="22.5" customHeight="1">
      <c r="A69" s="20">
        <v>46127.400893819446</v>
      </c>
      <c r="B69" s="11">
        <f t="shared" si="1"/>
        <v>46127</v>
      </c>
      <c r="C69" s="12" t="s">
        <v>15</v>
      </c>
      <c r="D69" s="21" t="s">
        <v>277</v>
      </c>
      <c r="E69" s="21" t="s">
        <v>278</v>
      </c>
      <c r="F69" s="22">
        <v>13.0</v>
      </c>
      <c r="G69" s="23" t="s">
        <v>279</v>
      </c>
      <c r="H69" s="16" t="str">
        <f t="shared" si="2"/>
        <v>las precipitaciones según el pronóstico</v>
      </c>
      <c r="I69" s="17" t="str">
        <f t="shared" si="17"/>
        <v>Precipitaciones</v>
      </c>
      <c r="J69" s="23" t="s">
        <v>55</v>
      </c>
      <c r="K69" s="18" t="str">
        <f t="shared" si="3"/>
        <v>No</v>
      </c>
      <c r="L69" s="18" t="str">
        <f t="shared" si="4"/>
        <v>No</v>
      </c>
      <c r="M69" s="18" t="str">
        <f t="shared" si="5"/>
        <v>Sí</v>
      </c>
      <c r="N69" s="23" t="s">
        <v>280</v>
      </c>
      <c r="O69" s="14" t="s">
        <v>22</v>
      </c>
    </row>
    <row r="70" ht="22.5" customHeight="1">
      <c r="A70" s="20">
        <v>46127.85760347222</v>
      </c>
      <c r="B70" s="11">
        <f t="shared" si="1"/>
        <v>46127</v>
      </c>
      <c r="C70" s="12" t="s">
        <v>15</v>
      </c>
      <c r="D70" s="21" t="s">
        <v>281</v>
      </c>
      <c r="E70" s="21" t="s">
        <v>282</v>
      </c>
      <c r="F70" s="22">
        <v>12.0</v>
      </c>
      <c r="G70" s="23" t="s">
        <v>283</v>
      </c>
      <c r="H70" s="16" t="str">
        <f t="shared" si="2"/>
        <v>que no llueva y que se acabe la humedad.</v>
      </c>
      <c r="I70" s="17" t="str">
        <f t="shared" si="17"/>
        <v>Viento y Humedad</v>
      </c>
      <c r="J70" s="23" t="s">
        <v>284</v>
      </c>
      <c r="K70" s="18" t="str">
        <f t="shared" si="3"/>
        <v>Sí</v>
      </c>
      <c r="L70" s="18" t="str">
        <f t="shared" si="4"/>
        <v>No</v>
      </c>
      <c r="M70" s="18" t="str">
        <f t="shared" si="5"/>
        <v>Sí</v>
      </c>
      <c r="N70" s="23" t="s">
        <v>285</v>
      </c>
      <c r="O70" s="14" t="s">
        <v>22</v>
      </c>
    </row>
    <row r="71" ht="22.5" customHeight="1">
      <c r="A71" s="20">
        <v>46127.40162106481</v>
      </c>
      <c r="B71" s="11">
        <f t="shared" si="1"/>
        <v>46127</v>
      </c>
      <c r="C71" s="12" t="s">
        <v>15</v>
      </c>
      <c r="D71" s="21" t="s">
        <v>286</v>
      </c>
      <c r="E71" s="21" t="s">
        <v>287</v>
      </c>
      <c r="F71" s="22">
        <v>16.0</v>
      </c>
      <c r="G71" s="23" t="s">
        <v>288</v>
      </c>
      <c r="H71" s="16" t="str">
        <f t="shared" si="2"/>
        <v>soleado sin probabilidad de lluvia</v>
      </c>
      <c r="I71" s="17" t="str">
        <f t="shared" si="17"/>
        <v>Precipitaciones</v>
      </c>
      <c r="J71" s="23" t="s">
        <v>60</v>
      </c>
      <c r="K71" s="18" t="str">
        <f t="shared" si="3"/>
        <v>Sí</v>
      </c>
      <c r="L71" s="18" t="str">
        <f t="shared" si="4"/>
        <v>Sí</v>
      </c>
      <c r="M71" s="18" t="str">
        <f t="shared" si="5"/>
        <v>Sí</v>
      </c>
      <c r="N71" s="23" t="s">
        <v>289</v>
      </c>
      <c r="O71" s="14" t="s">
        <v>22</v>
      </c>
    </row>
    <row r="72" ht="22.5" customHeight="1">
      <c r="A72" s="20">
        <v>46127.401643668985</v>
      </c>
      <c r="B72" s="11">
        <f t="shared" si="1"/>
        <v>46127</v>
      </c>
      <c r="C72" s="12" t="s">
        <v>15</v>
      </c>
      <c r="D72" s="21" t="s">
        <v>290</v>
      </c>
      <c r="E72" s="21" t="s">
        <v>291</v>
      </c>
      <c r="F72" s="22">
        <v>13.0</v>
      </c>
      <c r="G72" s="23" t="s">
        <v>292</v>
      </c>
      <c r="H72" s="16" t="str">
        <f t="shared" si="2"/>
        <v>para estar segura me fijaria si el clima me indica soleado o no, o tambien la probabilidad de que llueva</v>
      </c>
      <c r="I72" s="17" t="str">
        <f t="shared" si="17"/>
        <v>Estado del Cielo</v>
      </c>
      <c r="J72" s="23" t="s">
        <v>20</v>
      </c>
      <c r="K72" s="18" t="str">
        <f t="shared" si="3"/>
        <v>Sí</v>
      </c>
      <c r="L72" s="18" t="str">
        <f t="shared" si="4"/>
        <v>No</v>
      </c>
      <c r="M72" s="18" t="str">
        <f t="shared" si="5"/>
        <v>No</v>
      </c>
      <c r="N72" s="23" t="s">
        <v>293</v>
      </c>
      <c r="O72" s="14" t="str">
        <f>IF(ISNUMBER(SEARCH("dolor", N72)), "Salud y Bienestar", IF(ISNUMBER(SEARCH("resfria", N72)), "Salud y Bienestar", IF(ISNUMBER(SEARCH("insola", N72)), "Salud y Bienestar", IF(ISNUMBER(SEARCH("fisica", N72)), "Planificación Escolar", IF(ISNUMBER(SEARCH("futbol", N72)), "Planificación Escolar", IF(ISNUMBER(SEARCH("voley", N72)), "Planificación Escolar", IF(ISNUMBER(SEARCH("recreo", H72)), "Planificación Escolar", IF(ISNUMBER(SEARCH("sombra", H72)), "Gestión de Recursos", IF(ISNUMBER(SEARCH("arbol", H72)), "Gestión de Recursos", IF(ISNUMBER(SEARCH("compu", H72)), "Gestión de Recursos", IF(ISNUMBER(SEARCH("vestimenta", H72)), "Logística y Vestimenta", IF(ISNUMBER(SEARCH("ropa", H72)), "Logística y Vestimenta", IF(ISNUMBER(SEARCH("ambient", H72)), "Conciencia Ambiental", IF(ISNUMBER(SEARCH("carbono", H72)), "Conciencia Ambiental", "Otros"))))))))))))))</f>
        <v>Salud y Bienestar</v>
      </c>
    </row>
    <row r="73" ht="22.5" customHeight="1">
      <c r="A73" s="20">
        <v>46127.40177778935</v>
      </c>
      <c r="B73" s="11">
        <f t="shared" si="1"/>
        <v>46127</v>
      </c>
      <c r="C73" s="12" t="s">
        <v>15</v>
      </c>
      <c r="D73" s="21" t="s">
        <v>294</v>
      </c>
      <c r="E73" s="21" t="s">
        <v>295</v>
      </c>
      <c r="F73" s="22">
        <v>12.0</v>
      </c>
      <c r="G73" s="23" t="s">
        <v>296</v>
      </c>
      <c r="H73" s="16" t="str">
        <f t="shared" si="2"/>
        <v>que no este pronosticado lluvia</v>
      </c>
      <c r="I73" s="17" t="str">
        <f t="shared" si="17"/>
        <v>Precipitaciones</v>
      </c>
      <c r="J73" s="23" t="s">
        <v>50</v>
      </c>
      <c r="K73" s="18" t="str">
        <f t="shared" si="3"/>
        <v>No</v>
      </c>
      <c r="L73" s="18" t="str">
        <f t="shared" si="4"/>
        <v>Sí</v>
      </c>
      <c r="M73" s="18" t="str">
        <f t="shared" si="5"/>
        <v>No</v>
      </c>
      <c r="N73" s="23" t="s">
        <v>240</v>
      </c>
      <c r="O73" s="14" t="s">
        <v>22</v>
      </c>
    </row>
    <row r="74" ht="22.5" customHeight="1">
      <c r="A74" s="20">
        <v>46127.402071840275</v>
      </c>
      <c r="B74" s="11">
        <f t="shared" si="1"/>
        <v>46127</v>
      </c>
      <c r="C74" s="12" t="s">
        <v>15</v>
      </c>
      <c r="D74" s="21" t="s">
        <v>297</v>
      </c>
      <c r="E74" s="21" t="s">
        <v>298</v>
      </c>
      <c r="F74" s="22">
        <v>12.0</v>
      </c>
      <c r="G74" s="23" t="s">
        <v>299</v>
      </c>
      <c r="H74" s="16" t="str">
        <f t="shared" si="2"/>
        <v>nublado </v>
      </c>
      <c r="I74" s="17" t="str">
        <f t="shared" si="17"/>
        <v>Estado del Cielo</v>
      </c>
      <c r="J74" s="23" t="s">
        <v>20</v>
      </c>
      <c r="K74" s="18" t="str">
        <f t="shared" si="3"/>
        <v>Sí</v>
      </c>
      <c r="L74" s="18" t="str">
        <f t="shared" si="4"/>
        <v>No</v>
      </c>
      <c r="M74" s="18" t="str">
        <f t="shared" si="5"/>
        <v>No</v>
      </c>
      <c r="N74" s="23" t="s">
        <v>300</v>
      </c>
      <c r="O74" s="14" t="s">
        <v>22</v>
      </c>
    </row>
    <row r="75" ht="22.5" customHeight="1">
      <c r="A75" s="20">
        <v>46127.402698668986</v>
      </c>
      <c r="B75" s="11">
        <f t="shared" si="1"/>
        <v>46127</v>
      </c>
      <c r="C75" s="12" t="s">
        <v>15</v>
      </c>
      <c r="D75" s="21" t="s">
        <v>301</v>
      </c>
      <c r="E75" s="21" t="s">
        <v>302</v>
      </c>
      <c r="F75" s="22">
        <v>14.0</v>
      </c>
      <c r="G75" s="23" t="s">
        <v>303</v>
      </c>
      <c r="H75" s="16" t="str">
        <f t="shared" si="2"/>
        <v>nublado pero sin lluvia</v>
      </c>
      <c r="I75" s="17" t="str">
        <f t="shared" si="17"/>
        <v>Precipitaciones</v>
      </c>
      <c r="J75" s="23" t="s">
        <v>20</v>
      </c>
      <c r="K75" s="18" t="str">
        <f t="shared" si="3"/>
        <v>Sí</v>
      </c>
      <c r="L75" s="18" t="str">
        <f t="shared" si="4"/>
        <v>No</v>
      </c>
      <c r="M75" s="18" t="str">
        <f t="shared" si="5"/>
        <v>No</v>
      </c>
      <c r="N75" s="23" t="s">
        <v>304</v>
      </c>
      <c r="O75" s="14" t="str">
        <f t="shared" ref="O75:O76" si="18">IF(ISNUMBER(SEARCH("dolor", N75)), "Salud y Bienestar", IF(ISNUMBER(SEARCH("resfria", N75)), "Salud y Bienestar", IF(ISNUMBER(SEARCH("insola", N75)), "Salud y Bienestar", IF(ISNUMBER(SEARCH("fisica", N75)), "Planificación Escolar", IF(ISNUMBER(SEARCH("futbol", N75)), "Planificación Escolar", IF(ISNUMBER(SEARCH("voley", N75)), "Planificación Escolar", IF(ISNUMBER(SEARCH("recreo", H75)), "Planificación Escolar", IF(ISNUMBER(SEARCH("sombra", H75)), "Gestión de Recursos", IF(ISNUMBER(SEARCH("arbol", H75)), "Gestión de Recursos", IF(ISNUMBER(SEARCH("compu", H75)), "Gestión de Recursos", IF(ISNUMBER(SEARCH("vestimenta", H75)), "Logística y Vestimenta", IF(ISNUMBER(SEARCH("ropa", H75)), "Logística y Vestimenta", IF(ISNUMBER(SEARCH("ambient", H75)), "Conciencia Ambiental", IF(ISNUMBER(SEARCH("carbono", H75)), "Conciencia Ambiental", "Otros"))))))))))))))</f>
        <v>Salud y Bienestar</v>
      </c>
    </row>
    <row r="76" ht="22.5" customHeight="1">
      <c r="A76" s="20">
        <v>46127.402795925926</v>
      </c>
      <c r="B76" s="11">
        <f t="shared" si="1"/>
        <v>46127</v>
      </c>
      <c r="C76" s="12" t="s">
        <v>15</v>
      </c>
      <c r="D76" s="21" t="s">
        <v>305</v>
      </c>
      <c r="E76" s="21" t="s">
        <v>306</v>
      </c>
      <c r="F76" s="22">
        <v>15.0</v>
      </c>
      <c r="G76" s="23" t="s">
        <v>307</v>
      </c>
      <c r="H76" s="16" t="str">
        <f t="shared" si="2"/>
        <v>el clima crepúsculo sería la mejor opción para mi</v>
      </c>
      <c r="I76" s="17" t="s">
        <v>19</v>
      </c>
      <c r="J76" s="23" t="s">
        <v>55</v>
      </c>
      <c r="K76" s="18" t="str">
        <f t="shared" si="3"/>
        <v>No</v>
      </c>
      <c r="L76" s="18" t="str">
        <f t="shared" si="4"/>
        <v>No</v>
      </c>
      <c r="M76" s="18" t="str">
        <f t="shared" si="5"/>
        <v>Sí</v>
      </c>
      <c r="N76" s="23" t="s">
        <v>308</v>
      </c>
      <c r="O76" s="14" t="str">
        <f t="shared" si="18"/>
        <v>Salud y Bienestar</v>
      </c>
    </row>
    <row r="77" ht="22.5" customHeight="1">
      <c r="A77" s="20">
        <v>46127.40320347222</v>
      </c>
      <c r="B77" s="11">
        <f t="shared" si="1"/>
        <v>46127</v>
      </c>
      <c r="C77" s="12" t="s">
        <v>15</v>
      </c>
      <c r="D77" s="21" t="s">
        <v>309</v>
      </c>
      <c r="E77" s="21" t="s">
        <v>310</v>
      </c>
      <c r="F77" s="22">
        <v>12.0</v>
      </c>
      <c r="G77" s="23" t="s">
        <v>311</v>
      </c>
      <c r="H77" s="16" t="str">
        <f t="shared" si="2"/>
        <v>nublado, pero con sol sin que allá llovido para poder jugar al futbol. 25 grados. </v>
      </c>
      <c r="I77" s="17" t="str">
        <f t="shared" ref="I77:I80" si="19">IF(ISNUMBER(SEARCH("lluvi", H77)), "Precipitaciones", IF(ISNUMBER(SEARCH("precipitaci", H77)), "Precipitaciones", IF(ISNUMBER(SEARCH("grad", H77)), "Temperatura", IF(ISNUMBER(SEARCH("frio", H77)), "Temperatura", IF(ISNUMBER(SEARCH("calor", H77)), "Temperatura", IF(ISNUMBER(SEARCH("sol", H77)), "Estado del Cielo", IF(ISNUMBER(SEARCH("nubla", H77)), "Estado del Cielo", IF(ISNUMBER(SEARCH("vient", H77)), "Viento y Humedad", IF(ISNUMBER(SEARCH("humed", H77)), "Viento y Humedad", "Otros")))))))))</f>
        <v>Temperatura</v>
      </c>
      <c r="J77" s="23" t="s">
        <v>20</v>
      </c>
      <c r="K77" s="18" t="str">
        <f t="shared" si="3"/>
        <v>Sí</v>
      </c>
      <c r="L77" s="18" t="str">
        <f t="shared" si="4"/>
        <v>No</v>
      </c>
      <c r="M77" s="18" t="str">
        <f t="shared" si="5"/>
        <v>No</v>
      </c>
      <c r="N77" s="23" t="s">
        <v>312</v>
      </c>
      <c r="O77" s="14" t="s">
        <v>22</v>
      </c>
    </row>
    <row r="78" ht="22.5" customHeight="1">
      <c r="A78" s="20">
        <v>46127.40340880787</v>
      </c>
      <c r="B78" s="11">
        <f t="shared" si="1"/>
        <v>46127</v>
      </c>
      <c r="C78" s="12" t="s">
        <v>15</v>
      </c>
      <c r="D78" s="21" t="s">
        <v>313</v>
      </c>
      <c r="E78" s="21" t="s">
        <v>314</v>
      </c>
      <c r="F78" s="22">
        <v>13.0</v>
      </c>
      <c r="G78" s="23" t="s">
        <v>315</v>
      </c>
      <c r="H78" s="16" t="str">
        <f t="shared" si="2"/>
        <v>soliado y frio</v>
      </c>
      <c r="I78" s="17" t="str">
        <f t="shared" si="19"/>
        <v>Temperatura</v>
      </c>
      <c r="J78" s="23" t="s">
        <v>284</v>
      </c>
      <c r="K78" s="18" t="str">
        <f t="shared" si="3"/>
        <v>Sí</v>
      </c>
      <c r="L78" s="18" t="str">
        <f t="shared" si="4"/>
        <v>No</v>
      </c>
      <c r="M78" s="18" t="str">
        <f t="shared" si="5"/>
        <v>Sí</v>
      </c>
      <c r="N78" s="23" t="s">
        <v>316</v>
      </c>
      <c r="O78" s="14" t="s">
        <v>22</v>
      </c>
    </row>
    <row r="79" ht="22.5" customHeight="1">
      <c r="A79" s="20">
        <v>46127.403478078704</v>
      </c>
      <c r="B79" s="11">
        <f t="shared" si="1"/>
        <v>46127</v>
      </c>
      <c r="C79" s="12" t="s">
        <v>15</v>
      </c>
      <c r="D79" s="21" t="s">
        <v>317</v>
      </c>
      <c r="E79" s="21" t="s">
        <v>318</v>
      </c>
      <c r="F79" s="22">
        <v>12.0</v>
      </c>
      <c r="G79" s="23" t="s">
        <v>319</v>
      </c>
      <c r="H79" s="16" t="str">
        <f t="shared" si="2"/>
        <v>saber que no va a llover y que va a ser un dia soleado.</v>
      </c>
      <c r="I79" s="17" t="str">
        <f t="shared" si="19"/>
        <v>Estado del Cielo</v>
      </c>
      <c r="J79" s="23" t="s">
        <v>50</v>
      </c>
      <c r="K79" s="18" t="str">
        <f t="shared" si="3"/>
        <v>No</v>
      </c>
      <c r="L79" s="18" t="str">
        <f t="shared" si="4"/>
        <v>Sí</v>
      </c>
      <c r="M79" s="18" t="str">
        <f t="shared" si="5"/>
        <v>No</v>
      </c>
      <c r="N79" s="23" t="s">
        <v>320</v>
      </c>
      <c r="O79" s="14" t="s">
        <v>22</v>
      </c>
    </row>
    <row r="80" ht="22.5" customHeight="1">
      <c r="A80" s="20">
        <v>46127.40359425926</v>
      </c>
      <c r="B80" s="11">
        <f t="shared" si="1"/>
        <v>46127</v>
      </c>
      <c r="C80" s="12" t="s">
        <v>15</v>
      </c>
      <c r="D80" s="21" t="s">
        <v>321</v>
      </c>
      <c r="E80" s="21" t="s">
        <v>322</v>
      </c>
      <c r="F80" s="22">
        <v>13.0</v>
      </c>
      <c r="G80" s="23" t="s">
        <v>323</v>
      </c>
      <c r="H80" s="16" t="str">
        <f t="shared" si="2"/>
        <v>que este nublado sin lluvia</v>
      </c>
      <c r="I80" s="17" t="str">
        <f t="shared" si="19"/>
        <v>Precipitaciones</v>
      </c>
      <c r="J80" s="23" t="s">
        <v>55</v>
      </c>
      <c r="K80" s="18" t="str">
        <f t="shared" si="3"/>
        <v>No</v>
      </c>
      <c r="L80" s="18" t="str">
        <f t="shared" si="4"/>
        <v>No</v>
      </c>
      <c r="M80" s="18" t="str">
        <f t="shared" si="5"/>
        <v>Sí</v>
      </c>
      <c r="N80" s="23" t="s">
        <v>324</v>
      </c>
      <c r="O80" s="14" t="s">
        <v>22</v>
      </c>
    </row>
    <row r="81" ht="22.5" customHeight="1">
      <c r="A81" s="20">
        <v>46127.404016863424</v>
      </c>
      <c r="B81" s="11">
        <f t="shared" si="1"/>
        <v>46127</v>
      </c>
      <c r="C81" s="12" t="s">
        <v>15</v>
      </c>
      <c r="D81" s="21" t="s">
        <v>325</v>
      </c>
      <c r="E81" s="21" t="s">
        <v>326</v>
      </c>
      <c r="F81" s="22">
        <v>12.0</v>
      </c>
      <c r="G81" s="23" t="s">
        <v>327</v>
      </c>
      <c r="H81" s="16" t="str">
        <f t="shared" si="2"/>
        <v>la temperatura y la probabilidad</v>
      </c>
      <c r="I81" s="17" t="s">
        <v>19</v>
      </c>
      <c r="J81" s="23" t="s">
        <v>284</v>
      </c>
      <c r="K81" s="18" t="str">
        <f t="shared" si="3"/>
        <v>Sí</v>
      </c>
      <c r="L81" s="18" t="str">
        <f t="shared" si="4"/>
        <v>No</v>
      </c>
      <c r="M81" s="18" t="str">
        <f t="shared" si="5"/>
        <v>Sí</v>
      </c>
      <c r="N81" s="23" t="s">
        <v>328</v>
      </c>
      <c r="O81" s="14" t="s">
        <v>22</v>
      </c>
    </row>
    <row r="82" ht="22.5" customHeight="1">
      <c r="A82" s="20">
        <v>46127.404872025465</v>
      </c>
      <c r="B82" s="11">
        <f t="shared" si="1"/>
        <v>46127</v>
      </c>
      <c r="C82" s="12" t="s">
        <v>15</v>
      </c>
      <c r="D82" s="21" t="s">
        <v>329</v>
      </c>
      <c r="E82" s="21" t="s">
        <v>330</v>
      </c>
      <c r="F82" s="22">
        <v>12.0</v>
      </c>
      <c r="G82" s="23" t="s">
        <v>331</v>
      </c>
      <c r="H82" s="16" t="str">
        <f t="shared" si="2"/>
        <v>que haya un dia caluroso y que no llueva y no haya tormenta para mi seria un dia lindo caluroso </v>
      </c>
      <c r="I82" s="17" t="s">
        <v>19</v>
      </c>
      <c r="J82" s="23" t="s">
        <v>55</v>
      </c>
      <c r="K82" s="18" t="str">
        <f t="shared" si="3"/>
        <v>No</v>
      </c>
      <c r="L82" s="18" t="str">
        <f t="shared" si="4"/>
        <v>No</v>
      </c>
      <c r="M82" s="18" t="str">
        <f t="shared" si="5"/>
        <v>Sí</v>
      </c>
      <c r="N82" s="23" t="s">
        <v>332</v>
      </c>
      <c r="O82" s="14" t="str">
        <f t="shared" ref="O82:O83" si="20">IF(ISNUMBER(SEARCH("dolor", N82)), "Salud y Bienestar", IF(ISNUMBER(SEARCH("resfria", N82)), "Salud y Bienestar", IF(ISNUMBER(SEARCH("insola", N82)), "Salud y Bienestar", IF(ISNUMBER(SEARCH("fisica", N82)), "Planificación Escolar", IF(ISNUMBER(SEARCH("futbol", N82)), "Planificación Escolar", IF(ISNUMBER(SEARCH("voley", N82)), "Planificación Escolar", IF(ISNUMBER(SEARCH("recreo", H82)), "Planificación Escolar", IF(ISNUMBER(SEARCH("sombra", H82)), "Gestión de Recursos", IF(ISNUMBER(SEARCH("arbol", H82)), "Gestión de Recursos", IF(ISNUMBER(SEARCH("compu", H82)), "Gestión de Recursos", IF(ISNUMBER(SEARCH("vestimenta", H82)), "Logística y Vestimenta", IF(ISNUMBER(SEARCH("ropa", H82)), "Logística y Vestimenta", IF(ISNUMBER(SEARCH("ambient", H82)), "Conciencia Ambiental", IF(ISNUMBER(SEARCH("carbono", H82)), "Conciencia Ambiental", "Otros"))))))))))))))</f>
        <v>Salud y Bienestar</v>
      </c>
    </row>
    <row r="83" ht="22.5" customHeight="1">
      <c r="A83" s="20">
        <v>46127.4051603588</v>
      </c>
      <c r="B83" s="11">
        <f t="shared" si="1"/>
        <v>46127</v>
      </c>
      <c r="C83" s="12" t="s">
        <v>15</v>
      </c>
      <c r="D83" s="21" t="s">
        <v>333</v>
      </c>
      <c r="E83" s="21" t="s">
        <v>334</v>
      </c>
      <c r="F83" s="22">
        <v>13.0</v>
      </c>
      <c r="G83" s="23" t="s">
        <v>335</v>
      </c>
      <c r="H83" s="16" t="str">
        <f t="shared" si="2"/>
        <v>que no haya lluvia</v>
      </c>
      <c r="I83" s="17" t="str">
        <f>IF(ISNUMBER(SEARCH("lluvi", H83)), "Precipitaciones", IF(ISNUMBER(SEARCH("precipitaci", H83)), "Precipitaciones", IF(ISNUMBER(SEARCH("grad", H83)), "Temperatura", IF(ISNUMBER(SEARCH("frio", H83)), "Temperatura", IF(ISNUMBER(SEARCH("calor", H83)), "Temperatura", IF(ISNUMBER(SEARCH("sol", H83)), "Estado del Cielo", IF(ISNUMBER(SEARCH("nubla", H83)), "Estado del Cielo", IF(ISNUMBER(SEARCH("vient", H83)), "Viento y Humedad", IF(ISNUMBER(SEARCH("humed", H83)), "Viento y Humedad", "Otros")))))))))</f>
        <v>Precipitaciones</v>
      </c>
      <c r="J83" s="23" t="s">
        <v>50</v>
      </c>
      <c r="K83" s="18" t="str">
        <f t="shared" si="3"/>
        <v>No</v>
      </c>
      <c r="L83" s="18" t="str">
        <f t="shared" si="4"/>
        <v>Sí</v>
      </c>
      <c r="M83" s="18" t="str">
        <f t="shared" si="5"/>
        <v>No</v>
      </c>
      <c r="N83" s="23" t="s">
        <v>336</v>
      </c>
      <c r="O83" s="14" t="str">
        <f t="shared" si="20"/>
        <v>Salud y Bienestar</v>
      </c>
    </row>
    <row r="84" ht="22.5" customHeight="1">
      <c r="A84" s="20">
        <v>46127.40532042824</v>
      </c>
      <c r="B84" s="11">
        <f t="shared" si="1"/>
        <v>46127</v>
      </c>
      <c r="C84" s="12" t="s">
        <v>15</v>
      </c>
      <c r="D84" s="21" t="s">
        <v>337</v>
      </c>
      <c r="E84" s="21" t="s">
        <v>338</v>
      </c>
      <c r="F84" s="22">
        <v>12.0</v>
      </c>
      <c r="G84" s="23" t="s">
        <v>339</v>
      </c>
      <c r="H84" s="16" t="str">
        <f t="shared" si="2"/>
        <v>que no llueva para  jugar futbol</v>
      </c>
      <c r="I84" s="17" t="s">
        <v>19</v>
      </c>
      <c r="J84" s="23" t="s">
        <v>55</v>
      </c>
      <c r="K84" s="18" t="str">
        <f t="shared" si="3"/>
        <v>No</v>
      </c>
      <c r="L84" s="18" t="str">
        <f t="shared" si="4"/>
        <v>No</v>
      </c>
      <c r="M84" s="18" t="str">
        <f t="shared" si="5"/>
        <v>Sí</v>
      </c>
      <c r="N84" s="23" t="s">
        <v>340</v>
      </c>
      <c r="O84" s="14" t="s">
        <v>22</v>
      </c>
    </row>
    <row r="85" ht="22.5" customHeight="1">
      <c r="A85" s="20">
        <v>46127.40571521991</v>
      </c>
      <c r="B85" s="11">
        <f t="shared" si="1"/>
        <v>46127</v>
      </c>
      <c r="C85" s="12" t="s">
        <v>15</v>
      </c>
      <c r="D85" s="21" t="s">
        <v>341</v>
      </c>
      <c r="E85" s="21" t="s">
        <v>342</v>
      </c>
      <c r="F85" s="22">
        <v>12.0</v>
      </c>
      <c r="G85" s="23" t="s">
        <v>343</v>
      </c>
      <c r="H85" s="16" t="str">
        <f t="shared" si="2"/>
        <v>que el clima estuviera templado entre doce y dies y ocho grados  y no tan soleado</v>
      </c>
      <c r="I85" s="17" t="str">
        <f>IF(ISNUMBER(SEARCH("lluvi", H85)), "Precipitaciones", IF(ISNUMBER(SEARCH("precipitaci", H85)), "Precipitaciones", IF(ISNUMBER(SEARCH("grad", H85)), "Temperatura", IF(ISNUMBER(SEARCH("frio", H85)), "Temperatura", IF(ISNUMBER(SEARCH("calor", H85)), "Temperatura", IF(ISNUMBER(SEARCH("sol", H85)), "Estado del Cielo", IF(ISNUMBER(SEARCH("nubla", H85)), "Estado del Cielo", IF(ISNUMBER(SEARCH("vient", H85)), "Viento y Humedad", IF(ISNUMBER(SEARCH("humed", H85)), "Viento y Humedad", "Otros")))))))))</f>
        <v>Temperatura</v>
      </c>
      <c r="J85" s="23" t="s">
        <v>55</v>
      </c>
      <c r="K85" s="18" t="str">
        <f t="shared" si="3"/>
        <v>No</v>
      </c>
      <c r="L85" s="18" t="str">
        <f t="shared" si="4"/>
        <v>No</v>
      </c>
      <c r="M85" s="18" t="str">
        <f t="shared" si="5"/>
        <v>Sí</v>
      </c>
      <c r="N85" s="23" t="s">
        <v>344</v>
      </c>
      <c r="O85" s="14" t="s">
        <v>22</v>
      </c>
    </row>
    <row r="86" ht="22.5" customHeight="1">
      <c r="A86" s="20">
        <v>46127.40575675926</v>
      </c>
      <c r="B86" s="11">
        <f t="shared" si="1"/>
        <v>46127</v>
      </c>
      <c r="C86" s="12" t="s">
        <v>15</v>
      </c>
      <c r="D86" s="21" t="s">
        <v>345</v>
      </c>
      <c r="E86" s="21" t="s">
        <v>346</v>
      </c>
      <c r="F86" s="22">
        <v>13.0</v>
      </c>
      <c r="G86" s="23" t="s">
        <v>347</v>
      </c>
      <c r="H86" s="16" t="str">
        <f t="shared" si="2"/>
        <v>despejado</v>
      </c>
      <c r="I86" s="17" t="s">
        <v>19</v>
      </c>
      <c r="J86" s="23" t="s">
        <v>20</v>
      </c>
      <c r="K86" s="18" t="str">
        <f t="shared" si="3"/>
        <v>Sí</v>
      </c>
      <c r="L86" s="18" t="str">
        <f t="shared" si="4"/>
        <v>No</v>
      </c>
      <c r="M86" s="18" t="str">
        <f t="shared" si="5"/>
        <v>No</v>
      </c>
      <c r="N86" s="23" t="s">
        <v>348</v>
      </c>
      <c r="O86" s="14" t="str">
        <f t="shared" ref="O86:O87" si="21">IF(ISNUMBER(SEARCH("dolor", N86)), "Salud y Bienestar", IF(ISNUMBER(SEARCH("resfria", N86)), "Salud y Bienestar", IF(ISNUMBER(SEARCH("insola", N86)), "Salud y Bienestar", IF(ISNUMBER(SEARCH("fisica", N86)), "Planificación Escolar", IF(ISNUMBER(SEARCH("futbol", N86)), "Planificación Escolar", IF(ISNUMBER(SEARCH("voley", N86)), "Planificación Escolar", IF(ISNUMBER(SEARCH("recreo", H86)), "Planificación Escolar", IF(ISNUMBER(SEARCH("sombra", H86)), "Gestión de Recursos", IF(ISNUMBER(SEARCH("arbol", H86)), "Gestión de Recursos", IF(ISNUMBER(SEARCH("compu", H86)), "Gestión de Recursos", IF(ISNUMBER(SEARCH("vestimenta", H86)), "Logística y Vestimenta", IF(ISNUMBER(SEARCH("ropa", H86)), "Logística y Vestimenta", IF(ISNUMBER(SEARCH("ambient", H86)), "Conciencia Ambiental", IF(ISNUMBER(SEARCH("carbono", H86)), "Conciencia Ambiental", "Otros"))))))))))))))</f>
        <v>Salud y Bienestar</v>
      </c>
    </row>
    <row r="87" ht="22.5" customHeight="1">
      <c r="A87" s="20">
        <v>46127.406981990745</v>
      </c>
      <c r="B87" s="11">
        <f t="shared" si="1"/>
        <v>46127</v>
      </c>
      <c r="C87" s="12" t="s">
        <v>15</v>
      </c>
      <c r="D87" s="21" t="s">
        <v>349</v>
      </c>
      <c r="E87" s="21" t="s">
        <v>350</v>
      </c>
      <c r="F87" s="22">
        <v>12.0</v>
      </c>
      <c r="G87" s="23" t="s">
        <v>351</v>
      </c>
      <c r="H87" s="16" t="str">
        <f t="shared" si="2"/>
        <v>que no haga tanto calor ósea que este templado (22° aproximadamente)</v>
      </c>
      <c r="I87" s="17" t="str">
        <f>IF(ISNUMBER(SEARCH("lluvi", H87)), "Precipitaciones", IF(ISNUMBER(SEARCH("precipitaci", H87)), "Precipitaciones", IF(ISNUMBER(SEARCH("grad", H87)), "Temperatura", IF(ISNUMBER(SEARCH("frio", H87)), "Temperatura", IF(ISNUMBER(SEARCH("calor", H87)), "Temperatura", IF(ISNUMBER(SEARCH("sol", H87)), "Estado del Cielo", IF(ISNUMBER(SEARCH("nubla", H87)), "Estado del Cielo", IF(ISNUMBER(SEARCH("vient", H87)), "Viento y Humedad", IF(ISNUMBER(SEARCH("humed", H87)), "Viento y Humedad", "Otros")))))))))</f>
        <v>Temperatura</v>
      </c>
      <c r="J87" s="23" t="s">
        <v>20</v>
      </c>
      <c r="K87" s="18" t="str">
        <f t="shared" si="3"/>
        <v>Sí</v>
      </c>
      <c r="L87" s="18" t="str">
        <f t="shared" si="4"/>
        <v>No</v>
      </c>
      <c r="M87" s="18" t="str">
        <f t="shared" si="5"/>
        <v>No</v>
      </c>
      <c r="N87" s="23" t="s">
        <v>352</v>
      </c>
      <c r="O87" s="14" t="str">
        <f t="shared" si="21"/>
        <v>Salud y Bienestar</v>
      </c>
    </row>
    <row r="88" ht="22.5" customHeight="1">
      <c r="A88" s="20">
        <v>46127.40766334491</v>
      </c>
      <c r="B88" s="11">
        <f t="shared" si="1"/>
        <v>46127</v>
      </c>
      <c r="C88" s="12" t="s">
        <v>15</v>
      </c>
      <c r="D88" s="21" t="s">
        <v>353</v>
      </c>
      <c r="E88" s="21" t="s">
        <v>354</v>
      </c>
      <c r="F88" s="22">
        <v>13.0</v>
      </c>
      <c r="G88" s="23" t="s">
        <v>355</v>
      </c>
      <c r="H88" s="16" t="str">
        <f t="shared" si="2"/>
        <v>ver el pronostico del día</v>
      </c>
      <c r="I88" s="17" t="s">
        <v>19</v>
      </c>
      <c r="J88" s="23" t="s">
        <v>20</v>
      </c>
      <c r="K88" s="18" t="str">
        <f t="shared" si="3"/>
        <v>Sí</v>
      </c>
      <c r="L88" s="18" t="str">
        <f t="shared" si="4"/>
        <v>No</v>
      </c>
      <c r="M88" s="18" t="str">
        <f t="shared" si="5"/>
        <v>No</v>
      </c>
      <c r="N88" s="23" t="s">
        <v>356</v>
      </c>
      <c r="O88" s="14" t="s">
        <v>22</v>
      </c>
    </row>
    <row r="89" ht="22.5" customHeight="1">
      <c r="A89" s="20">
        <v>46127.40790917824</v>
      </c>
      <c r="B89" s="11">
        <f t="shared" si="1"/>
        <v>46127</v>
      </c>
      <c r="C89" s="12" t="s">
        <v>15</v>
      </c>
      <c r="D89" s="21" t="s">
        <v>357</v>
      </c>
      <c r="E89" s="21" t="s">
        <v>358</v>
      </c>
      <c r="F89" s="22">
        <v>12.0</v>
      </c>
      <c r="G89" s="23" t="s">
        <v>359</v>
      </c>
      <c r="H89" s="16" t="str">
        <f t="shared" si="2"/>
        <v> que no llueva o que no haya mal clima</v>
      </c>
      <c r="I89" s="17" t="s">
        <v>19</v>
      </c>
      <c r="J89" s="23" t="s">
        <v>50</v>
      </c>
      <c r="K89" s="18" t="str">
        <f t="shared" si="3"/>
        <v>No</v>
      </c>
      <c r="L89" s="18" t="str">
        <f t="shared" si="4"/>
        <v>Sí</v>
      </c>
      <c r="M89" s="18" t="str">
        <f t="shared" si="5"/>
        <v>No</v>
      </c>
      <c r="N89" s="23" t="s">
        <v>360</v>
      </c>
      <c r="O89" s="14" t="s">
        <v>22</v>
      </c>
    </row>
    <row r="90" ht="22.5" customHeight="1">
      <c r="A90" s="20">
        <v>46127.40879077546</v>
      </c>
      <c r="B90" s="11">
        <f t="shared" si="1"/>
        <v>46127</v>
      </c>
      <c r="C90" s="12" t="s">
        <v>15</v>
      </c>
      <c r="D90" s="21" t="s">
        <v>361</v>
      </c>
      <c r="E90" s="21" t="s">
        <v>362</v>
      </c>
      <c r="F90" s="22">
        <v>12.0</v>
      </c>
      <c r="G90" s="23" t="s">
        <v>363</v>
      </c>
      <c r="H90" s="16" t="str">
        <f t="shared" si="2"/>
        <v>saber si va a estar soleado y si va a llover.</v>
      </c>
      <c r="I90" s="17" t="str">
        <f t="shared" ref="I90:I92" si="22">IF(ISNUMBER(SEARCH("lluvi", H90)), "Precipitaciones", IF(ISNUMBER(SEARCH("precipitaci", H90)), "Precipitaciones", IF(ISNUMBER(SEARCH("grad", H90)), "Temperatura", IF(ISNUMBER(SEARCH("frio", H90)), "Temperatura", IF(ISNUMBER(SEARCH("calor", H90)), "Temperatura", IF(ISNUMBER(SEARCH("sol", H90)), "Estado del Cielo", IF(ISNUMBER(SEARCH("nubla", H90)), "Estado del Cielo", IF(ISNUMBER(SEARCH("vient", H90)), "Viento y Humedad", IF(ISNUMBER(SEARCH("humed", H90)), "Viento y Humedad", "Otros")))))))))</f>
        <v>Estado del Cielo</v>
      </c>
      <c r="J90" s="23" t="s">
        <v>50</v>
      </c>
      <c r="K90" s="18" t="str">
        <f t="shared" si="3"/>
        <v>No</v>
      </c>
      <c r="L90" s="18" t="str">
        <f t="shared" si="4"/>
        <v>Sí</v>
      </c>
      <c r="M90" s="18" t="str">
        <f t="shared" si="5"/>
        <v>No</v>
      </c>
      <c r="N90" s="23" t="s">
        <v>364</v>
      </c>
      <c r="O90" s="14" t="s">
        <v>22</v>
      </c>
    </row>
    <row r="91" ht="22.5" customHeight="1">
      <c r="A91" s="20">
        <v>46127.409237824075</v>
      </c>
      <c r="B91" s="11">
        <f t="shared" si="1"/>
        <v>46127</v>
      </c>
      <c r="C91" s="12" t="s">
        <v>15</v>
      </c>
      <c r="D91" s="21" t="s">
        <v>365</v>
      </c>
      <c r="E91" s="21" t="s">
        <v>366</v>
      </c>
      <c r="F91" s="22">
        <v>13.0</v>
      </c>
      <c r="G91" s="23" t="s">
        <v>367</v>
      </c>
      <c r="H91" s="16" t="str">
        <f t="shared" si="2"/>
        <v>que este nublado pero que no llueva</v>
      </c>
      <c r="I91" s="17" t="str">
        <f t="shared" si="22"/>
        <v>Estado del Cielo</v>
      </c>
      <c r="J91" s="23" t="s">
        <v>20</v>
      </c>
      <c r="K91" s="18" t="str">
        <f t="shared" si="3"/>
        <v>Sí</v>
      </c>
      <c r="L91" s="18" t="str">
        <f t="shared" si="4"/>
        <v>No</v>
      </c>
      <c r="M91" s="18" t="str">
        <f t="shared" si="5"/>
        <v>No</v>
      </c>
      <c r="N91" s="23" t="s">
        <v>368</v>
      </c>
      <c r="O91" s="14" t="s">
        <v>22</v>
      </c>
    </row>
    <row r="92" ht="22.5" customHeight="1">
      <c r="A92" s="20">
        <v>46127.40935918981</v>
      </c>
      <c r="B92" s="11">
        <f t="shared" si="1"/>
        <v>46127</v>
      </c>
      <c r="C92" s="12" t="s">
        <v>15</v>
      </c>
      <c r="D92" s="21" t="s">
        <v>369</v>
      </c>
      <c r="E92" s="21" t="s">
        <v>370</v>
      </c>
      <c r="F92" s="22">
        <v>12.0</v>
      </c>
      <c r="G92" s="23" t="s">
        <v>371</v>
      </c>
      <c r="H92" s="16" t="str">
        <f t="shared" si="2"/>
        <v>dies y nueve grados, con sombra y que el día anterior no haya llovido así no hay charcos.</v>
      </c>
      <c r="I92" s="17" t="str">
        <f t="shared" si="22"/>
        <v>Temperatura</v>
      </c>
      <c r="J92" s="23" t="s">
        <v>50</v>
      </c>
      <c r="K92" s="18" t="str">
        <f t="shared" si="3"/>
        <v>No</v>
      </c>
      <c r="L92" s="18" t="str">
        <f t="shared" si="4"/>
        <v>Sí</v>
      </c>
      <c r="M92" s="18" t="str">
        <f t="shared" si="5"/>
        <v>No</v>
      </c>
      <c r="N92" s="23" t="s">
        <v>372</v>
      </c>
      <c r="O92" s="14" t="str">
        <f>IF(ISNUMBER(SEARCH("dolor", N92)), "Salud y Bienestar", IF(ISNUMBER(SEARCH("resfria", N92)), "Salud y Bienestar", IF(ISNUMBER(SEARCH("insola", N92)), "Salud y Bienestar", IF(ISNUMBER(SEARCH("fisica", N92)), "Planificación Escolar", IF(ISNUMBER(SEARCH("futbol", N92)), "Planificación Escolar", IF(ISNUMBER(SEARCH("voley", N92)), "Planificación Escolar", IF(ISNUMBER(SEARCH("recreo", H92)), "Planificación Escolar", IF(ISNUMBER(SEARCH("sombra", H92)), "Gestión de Recursos", IF(ISNUMBER(SEARCH("arbol", H92)), "Gestión de Recursos", IF(ISNUMBER(SEARCH("compu", H92)), "Gestión de Recursos", IF(ISNUMBER(SEARCH("vestimenta", H92)), "Logística y Vestimenta", IF(ISNUMBER(SEARCH("ropa", H92)), "Logística y Vestimenta", IF(ISNUMBER(SEARCH("ambient", H92)), "Conciencia Ambiental", IF(ISNUMBER(SEARCH("carbono", H92)), "Conciencia Ambiental", "Otros"))))))))))))))</f>
        <v>Gestión de Recursos</v>
      </c>
    </row>
    <row r="93" ht="22.5" customHeight="1">
      <c r="A93" s="20">
        <v>46127.41012785879</v>
      </c>
      <c r="B93" s="11">
        <f t="shared" si="1"/>
        <v>46127</v>
      </c>
      <c r="C93" s="12" t="s">
        <v>15</v>
      </c>
      <c r="D93" s="21" t="s">
        <v>373</v>
      </c>
      <c r="E93" s="21" t="s">
        <v>374</v>
      </c>
      <c r="F93" s="22">
        <v>12.0</v>
      </c>
      <c r="G93" s="23" t="s">
        <v>375</v>
      </c>
      <c r="H93" s="16" t="str">
        <f t="shared" si="2"/>
        <v>el invierno</v>
      </c>
      <c r="I93" s="17" t="s">
        <v>19</v>
      </c>
      <c r="J93" s="23" t="s">
        <v>20</v>
      </c>
      <c r="K93" s="18" t="str">
        <f t="shared" si="3"/>
        <v>Sí</v>
      </c>
      <c r="L93" s="18" t="str">
        <f t="shared" si="4"/>
        <v>No</v>
      </c>
      <c r="M93" s="18" t="str">
        <f t="shared" si="5"/>
        <v>No</v>
      </c>
      <c r="N93" s="23" t="s">
        <v>376</v>
      </c>
      <c r="O93" s="14" t="s">
        <v>22</v>
      </c>
    </row>
    <row r="94" ht="22.5" customHeight="1">
      <c r="A94" s="20">
        <v>46127.410412627316</v>
      </c>
      <c r="B94" s="11">
        <f t="shared" si="1"/>
        <v>46127</v>
      </c>
      <c r="C94" s="12" t="s">
        <v>15</v>
      </c>
      <c r="D94" s="21" t="s">
        <v>377</v>
      </c>
      <c r="E94" s="21" t="s">
        <v>378</v>
      </c>
      <c r="F94" s="22">
        <v>12.0</v>
      </c>
      <c r="G94" s="23" t="s">
        <v>379</v>
      </c>
      <c r="H94" s="16" t="str">
        <f t="shared" si="2"/>
        <v>tendria que haber mas sol
</v>
      </c>
      <c r="I94" s="17" t="str">
        <f>IF(ISNUMBER(SEARCH("lluvi", H94)), "Precipitaciones", IF(ISNUMBER(SEARCH("precipitaci", H94)), "Precipitaciones", IF(ISNUMBER(SEARCH("grad", H94)), "Temperatura", IF(ISNUMBER(SEARCH("frio", H94)), "Temperatura", IF(ISNUMBER(SEARCH("calor", H94)), "Temperatura", IF(ISNUMBER(SEARCH("sol", H94)), "Estado del Cielo", IF(ISNUMBER(SEARCH("nubla", H94)), "Estado del Cielo", IF(ISNUMBER(SEARCH("vient", H94)), "Viento y Humedad", IF(ISNUMBER(SEARCH("humed", H94)), "Viento y Humedad", "Otros")))))))))</f>
        <v>Estado del Cielo</v>
      </c>
      <c r="J94" s="23" t="s">
        <v>55</v>
      </c>
      <c r="K94" s="18" t="str">
        <f t="shared" si="3"/>
        <v>No</v>
      </c>
      <c r="L94" s="18" t="str">
        <f t="shared" si="4"/>
        <v>No</v>
      </c>
      <c r="M94" s="18" t="str">
        <f t="shared" si="5"/>
        <v>Sí</v>
      </c>
      <c r="N94" s="23" t="s">
        <v>380</v>
      </c>
      <c r="O94" s="14" t="s">
        <v>22</v>
      </c>
    </row>
    <row r="95" ht="22.5" customHeight="1">
      <c r="A95" s="20">
        <v>46127.410547499996</v>
      </c>
      <c r="B95" s="11">
        <f t="shared" si="1"/>
        <v>46127</v>
      </c>
      <c r="C95" s="12" t="s">
        <v>15</v>
      </c>
      <c r="D95" s="21" t="s">
        <v>381</v>
      </c>
      <c r="E95" s="21" t="s">
        <v>382</v>
      </c>
      <c r="F95" s="22">
        <v>12.0</v>
      </c>
      <c r="G95" s="23" t="s">
        <v>383</v>
      </c>
      <c r="H95" s="16" t="str">
        <f t="shared" si="2"/>
        <v>me daria mas seguridad que avisen antes que clima va a haber </v>
      </c>
      <c r="I95" s="17" t="s">
        <v>19</v>
      </c>
      <c r="J95" s="23" t="s">
        <v>50</v>
      </c>
      <c r="K95" s="18" t="str">
        <f t="shared" si="3"/>
        <v>No</v>
      </c>
      <c r="L95" s="18" t="str">
        <f t="shared" si="4"/>
        <v>Sí</v>
      </c>
      <c r="M95" s="18" t="str">
        <f t="shared" si="5"/>
        <v>No</v>
      </c>
      <c r="N95" s="23" t="s">
        <v>384</v>
      </c>
      <c r="O95" s="14" t="s">
        <v>22</v>
      </c>
    </row>
    <row r="96" ht="22.5" customHeight="1">
      <c r="A96" s="20">
        <v>46127.420525486115</v>
      </c>
      <c r="B96" s="11">
        <f t="shared" si="1"/>
        <v>46127</v>
      </c>
      <c r="C96" s="12" t="s">
        <v>15</v>
      </c>
      <c r="D96" s="21" t="s">
        <v>385</v>
      </c>
      <c r="E96" s="21" t="s">
        <v>386</v>
      </c>
      <c r="F96" s="22">
        <v>12.0</v>
      </c>
      <c r="G96" s="23" t="s">
        <v>387</v>
      </c>
      <c r="H96" s="16" t="str">
        <f t="shared" si="2"/>
        <v>para mi elección que no  llueva y que haga un poco de sol</v>
      </c>
      <c r="I96" s="17" t="str">
        <f t="shared" ref="I96:I98" si="23">IF(ISNUMBER(SEARCH("lluvi", H96)), "Precipitaciones", IF(ISNUMBER(SEARCH("precipitaci", H96)), "Precipitaciones", IF(ISNUMBER(SEARCH("grad", H96)), "Temperatura", IF(ISNUMBER(SEARCH("frio", H96)), "Temperatura", IF(ISNUMBER(SEARCH("calor", H96)), "Temperatura", IF(ISNUMBER(SEARCH("sol", H96)), "Estado del Cielo", IF(ISNUMBER(SEARCH("nubla", H96)), "Estado del Cielo", IF(ISNUMBER(SEARCH("vient", H96)), "Viento y Humedad", IF(ISNUMBER(SEARCH("humed", H96)), "Viento y Humedad", "Otros")))))))))</f>
        <v>Estado del Cielo</v>
      </c>
      <c r="J96" s="23" t="s">
        <v>20</v>
      </c>
      <c r="K96" s="18" t="str">
        <f t="shared" si="3"/>
        <v>Sí</v>
      </c>
      <c r="L96" s="18" t="str">
        <f t="shared" si="4"/>
        <v>No</v>
      </c>
      <c r="M96" s="18" t="str">
        <f t="shared" si="5"/>
        <v>No</v>
      </c>
      <c r="N96" s="23" t="s">
        <v>388</v>
      </c>
      <c r="O96" s="14" t="str">
        <f>IF(ISNUMBER(SEARCH("dolor", N96)), "Salud y Bienestar", IF(ISNUMBER(SEARCH("resfria", N96)), "Salud y Bienestar", IF(ISNUMBER(SEARCH("insola", N96)), "Salud y Bienestar", IF(ISNUMBER(SEARCH("fisica", N96)), "Planificación Escolar", IF(ISNUMBER(SEARCH("futbol", N96)), "Planificación Escolar", IF(ISNUMBER(SEARCH("voley", N96)), "Planificación Escolar", IF(ISNUMBER(SEARCH("recreo", H96)), "Planificación Escolar", IF(ISNUMBER(SEARCH("sombra", H96)), "Gestión de Recursos", IF(ISNUMBER(SEARCH("arbol", H96)), "Gestión de Recursos", IF(ISNUMBER(SEARCH("compu", H96)), "Gestión de Recursos", IF(ISNUMBER(SEARCH("vestimenta", H96)), "Logística y Vestimenta", IF(ISNUMBER(SEARCH("ropa", H96)), "Logística y Vestimenta", IF(ISNUMBER(SEARCH("ambient", H96)), "Conciencia Ambiental", IF(ISNUMBER(SEARCH("carbono", H96)), "Conciencia Ambiental", "Otros"))))))))))))))</f>
        <v>Salud y Bienestar</v>
      </c>
    </row>
    <row r="97" ht="22.5" customHeight="1">
      <c r="A97" s="20">
        <v>46127.42060707176</v>
      </c>
      <c r="B97" s="11">
        <f t="shared" si="1"/>
        <v>46127</v>
      </c>
      <c r="C97" s="12" t="s">
        <v>15</v>
      </c>
      <c r="D97" s="21" t="s">
        <v>389</v>
      </c>
      <c r="E97" s="21" t="s">
        <v>390</v>
      </c>
      <c r="F97" s="22">
        <v>12.0</v>
      </c>
      <c r="G97" s="23" t="s">
        <v>391</v>
      </c>
      <c r="H97" s="16" t="str">
        <f t="shared" si="2"/>
        <v>si esta nublado o despejado</v>
      </c>
      <c r="I97" s="17" t="str">
        <f t="shared" si="23"/>
        <v>Estado del Cielo</v>
      </c>
      <c r="J97" s="23" t="s">
        <v>20</v>
      </c>
      <c r="K97" s="18" t="str">
        <f t="shared" si="3"/>
        <v>Sí</v>
      </c>
      <c r="L97" s="18" t="str">
        <f t="shared" si="4"/>
        <v>No</v>
      </c>
      <c r="M97" s="18" t="str">
        <f t="shared" si="5"/>
        <v>No</v>
      </c>
      <c r="N97" s="23" t="s">
        <v>392</v>
      </c>
      <c r="O97" s="14" t="s">
        <v>22</v>
      </c>
    </row>
    <row r="98" ht="22.5" customHeight="1">
      <c r="A98" s="20">
        <v>46127.422927997686</v>
      </c>
      <c r="B98" s="11">
        <f t="shared" si="1"/>
        <v>46127</v>
      </c>
      <c r="C98" s="12" t="s">
        <v>15</v>
      </c>
      <c r="D98" s="21" t="s">
        <v>393</v>
      </c>
      <c r="E98" s="21" t="s">
        <v>394</v>
      </c>
      <c r="F98" s="22">
        <v>13.0</v>
      </c>
      <c r="G98" s="23" t="s">
        <v>395</v>
      </c>
      <c r="H98" s="16" t="str">
        <f t="shared" si="2"/>
        <v>calor</v>
      </c>
      <c r="I98" s="17" t="str">
        <f t="shared" si="23"/>
        <v>Temperatura</v>
      </c>
      <c r="J98" s="23" t="s">
        <v>20</v>
      </c>
      <c r="K98" s="18" t="str">
        <f t="shared" si="3"/>
        <v>Sí</v>
      </c>
      <c r="L98" s="18" t="str">
        <f t="shared" si="4"/>
        <v>No</v>
      </c>
      <c r="M98" s="18" t="str">
        <f t="shared" si="5"/>
        <v>No</v>
      </c>
      <c r="N98" s="23" t="s">
        <v>164</v>
      </c>
      <c r="O98" s="14" t="s">
        <v>22</v>
      </c>
    </row>
    <row r="99" ht="22.5" customHeight="1">
      <c r="A99" s="20">
        <v>46127.42333266204</v>
      </c>
      <c r="B99" s="11">
        <f t="shared" si="1"/>
        <v>46127</v>
      </c>
      <c r="C99" s="12" t="s">
        <v>15</v>
      </c>
      <c r="D99" s="21" t="s">
        <v>396</v>
      </c>
      <c r="E99" s="21" t="s">
        <v>397</v>
      </c>
      <c r="F99" s="22">
        <v>11.0</v>
      </c>
      <c r="G99" s="23" t="s">
        <v>398</v>
      </c>
      <c r="H99" s="16" t="str">
        <f t="shared" si="2"/>
        <v>que este fresco </v>
      </c>
      <c r="I99" s="17" t="s">
        <v>19</v>
      </c>
      <c r="J99" s="23" t="s">
        <v>20</v>
      </c>
      <c r="K99" s="18" t="str">
        <f t="shared" si="3"/>
        <v>Sí</v>
      </c>
      <c r="L99" s="18" t="str">
        <f t="shared" si="4"/>
        <v>No</v>
      </c>
      <c r="M99" s="18" t="str">
        <f t="shared" si="5"/>
        <v>No</v>
      </c>
      <c r="N99" s="23" t="s">
        <v>399</v>
      </c>
      <c r="O99" s="14" t="s">
        <v>22</v>
      </c>
    </row>
    <row r="100" ht="22.5" customHeight="1">
      <c r="A100" s="20">
        <v>46127.42364671297</v>
      </c>
      <c r="B100" s="11">
        <f t="shared" si="1"/>
        <v>46127</v>
      </c>
      <c r="C100" s="12" t="s">
        <v>15</v>
      </c>
      <c r="D100" s="21" t="s">
        <v>400</v>
      </c>
      <c r="E100" s="21" t="s">
        <v>401</v>
      </c>
      <c r="F100" s="22">
        <v>12.0</v>
      </c>
      <c r="G100" s="23" t="s">
        <v>402</v>
      </c>
      <c r="H100" s="16" t="str">
        <f t="shared" si="2"/>
        <v>veinte y cinco grads y que no haya charcos</v>
      </c>
      <c r="I100" s="17" t="str">
        <f t="shared" ref="I100:I102" si="24">IF(ISNUMBER(SEARCH("lluvi", H100)), "Precipitaciones", IF(ISNUMBER(SEARCH("precipitaci", H100)), "Precipitaciones", IF(ISNUMBER(SEARCH("grad", H100)), "Temperatura", IF(ISNUMBER(SEARCH("frio", H100)), "Temperatura", IF(ISNUMBER(SEARCH("calor", H100)), "Temperatura", IF(ISNUMBER(SEARCH("sol", H100)), "Estado del Cielo", IF(ISNUMBER(SEARCH("nubla", H100)), "Estado del Cielo", IF(ISNUMBER(SEARCH("vient", H100)), "Viento y Humedad", IF(ISNUMBER(SEARCH("humed", H100)), "Viento y Humedad", "Otros")))))))))</f>
        <v>Temperatura</v>
      </c>
      <c r="J100" s="23" t="s">
        <v>50</v>
      </c>
      <c r="K100" s="18" t="str">
        <f t="shared" si="3"/>
        <v>No</v>
      </c>
      <c r="L100" s="18" t="str">
        <f t="shared" si="4"/>
        <v>Sí</v>
      </c>
      <c r="M100" s="18" t="str">
        <f t="shared" si="5"/>
        <v>No</v>
      </c>
      <c r="N100" s="23" t="s">
        <v>403</v>
      </c>
      <c r="O100" s="14" t="s">
        <v>22</v>
      </c>
    </row>
    <row r="101" ht="22.5" customHeight="1">
      <c r="A101" s="20">
        <v>46127.42414696759</v>
      </c>
      <c r="B101" s="11">
        <f t="shared" si="1"/>
        <v>46127</v>
      </c>
      <c r="C101" s="12" t="s">
        <v>15</v>
      </c>
      <c r="D101" s="21" t="s">
        <v>373</v>
      </c>
      <c r="E101" s="21" t="s">
        <v>374</v>
      </c>
      <c r="F101" s="22">
        <v>12.0</v>
      </c>
      <c r="G101" s="23" t="s">
        <v>404</v>
      </c>
      <c r="H101" s="16" t="str">
        <f t="shared" si="2"/>
        <v>dies y ocho grados</v>
      </c>
      <c r="I101" s="17" t="str">
        <f t="shared" si="24"/>
        <v>Temperatura</v>
      </c>
      <c r="J101" s="23" t="s">
        <v>20</v>
      </c>
      <c r="K101" s="18" t="str">
        <f t="shared" si="3"/>
        <v>Sí</v>
      </c>
      <c r="L101" s="18" t="str">
        <f t="shared" si="4"/>
        <v>No</v>
      </c>
      <c r="M101" s="18" t="str">
        <f t="shared" si="5"/>
        <v>No</v>
      </c>
      <c r="N101" s="23" t="s">
        <v>405</v>
      </c>
      <c r="O101" s="14" t="s">
        <v>22</v>
      </c>
    </row>
    <row r="102" ht="30.75" customHeight="1">
      <c r="A102" s="20">
        <v>46127.42423387732</v>
      </c>
      <c r="B102" s="11">
        <f t="shared" si="1"/>
        <v>46127</v>
      </c>
      <c r="C102" s="12" t="s">
        <v>15</v>
      </c>
      <c r="D102" s="21" t="s">
        <v>406</v>
      </c>
      <c r="E102" s="21" t="s">
        <v>407</v>
      </c>
      <c r="F102" s="22">
        <v>12.0</v>
      </c>
      <c r="G102" s="23" t="s">
        <v>408</v>
      </c>
      <c r="H102" s="16" t="str">
        <f t="shared" si="2"/>
        <v>un dia, soleado pero sin demasiado calor.</v>
      </c>
      <c r="I102" s="17" t="str">
        <f t="shared" si="24"/>
        <v>Temperatura</v>
      </c>
      <c r="J102" s="23" t="s">
        <v>60</v>
      </c>
      <c r="K102" s="18" t="str">
        <f t="shared" si="3"/>
        <v>Sí</v>
      </c>
      <c r="L102" s="18" t="str">
        <f t="shared" si="4"/>
        <v>Sí</v>
      </c>
      <c r="M102" s="18" t="str">
        <f t="shared" si="5"/>
        <v>Sí</v>
      </c>
      <c r="N102" s="23" t="s">
        <v>409</v>
      </c>
      <c r="O102" s="14" t="str">
        <f t="shared" ref="O102:O104" si="25">IF(ISNUMBER(SEARCH("dolor", N102)), "Salud y Bienestar", IF(ISNUMBER(SEARCH("resfria", N102)), "Salud y Bienestar", IF(ISNUMBER(SEARCH("insola", N102)), "Salud y Bienestar", IF(ISNUMBER(SEARCH("fisica", N102)), "Planificación Escolar", IF(ISNUMBER(SEARCH("futbol", N102)), "Planificación Escolar", IF(ISNUMBER(SEARCH("voley", N102)), "Planificación Escolar", IF(ISNUMBER(SEARCH("recreo", H102)), "Planificación Escolar", IF(ISNUMBER(SEARCH("sombra", H102)), "Gestión de Recursos", IF(ISNUMBER(SEARCH("arbol", H102)), "Gestión de Recursos", IF(ISNUMBER(SEARCH("compu", H102)), "Gestión de Recursos", IF(ISNUMBER(SEARCH("vestimenta", H102)), "Logística y Vestimenta", IF(ISNUMBER(SEARCH("ropa", H102)), "Logística y Vestimenta", IF(ISNUMBER(SEARCH("ambient", H102)), "Conciencia Ambiental", IF(ISNUMBER(SEARCH("carbono", H102)), "Conciencia Ambiental", "Otros"))))))))))))))</f>
        <v>Salud y Bienestar</v>
      </c>
    </row>
    <row r="103" ht="22.5" customHeight="1">
      <c r="A103" s="20">
        <v>46127.42454893519</v>
      </c>
      <c r="B103" s="11">
        <f t="shared" si="1"/>
        <v>46127</v>
      </c>
      <c r="C103" s="12" t="s">
        <v>15</v>
      </c>
      <c r="D103" s="21" t="s">
        <v>410</v>
      </c>
      <c r="E103" s="21" t="s">
        <v>411</v>
      </c>
      <c r="F103" s="22">
        <v>12.0</v>
      </c>
      <c r="G103" s="23" t="s">
        <v>412</v>
      </c>
      <c r="H103" s="16" t="str">
        <f t="shared" si="2"/>
        <v>tendría que aver sombra</v>
      </c>
      <c r="I103" s="17" t="s">
        <v>19</v>
      </c>
      <c r="J103" s="23" t="s">
        <v>55</v>
      </c>
      <c r="K103" s="18" t="str">
        <f t="shared" si="3"/>
        <v>No</v>
      </c>
      <c r="L103" s="18" t="str">
        <f t="shared" si="4"/>
        <v>No</v>
      </c>
      <c r="M103" s="18" t="str">
        <f t="shared" si="5"/>
        <v>Sí</v>
      </c>
      <c r="N103" s="23" t="s">
        <v>413</v>
      </c>
      <c r="O103" s="14" t="str">
        <f t="shared" si="25"/>
        <v>Planificación Escolar</v>
      </c>
    </row>
    <row r="104" ht="22.5" customHeight="1">
      <c r="A104" s="20">
        <v>46127.42493101852</v>
      </c>
      <c r="B104" s="11">
        <f t="shared" si="1"/>
        <v>46127</v>
      </c>
      <c r="C104" s="12" t="s">
        <v>15</v>
      </c>
      <c r="D104" s="21" t="s">
        <v>414</v>
      </c>
      <c r="E104" s="21" t="s">
        <v>415</v>
      </c>
      <c r="F104" s="22">
        <v>12.0</v>
      </c>
      <c r="G104" s="23" t="s">
        <v>416</v>
      </c>
      <c r="H104" s="16" t="str">
        <f t="shared" si="2"/>
        <v>saber que no va llover y que este soleado</v>
      </c>
      <c r="I104" s="17" t="str">
        <f>IF(ISNUMBER(SEARCH("lluvi", H104)), "Precipitaciones", IF(ISNUMBER(SEARCH("precipitaci", H104)), "Precipitaciones", IF(ISNUMBER(SEARCH("grad", H104)), "Temperatura", IF(ISNUMBER(SEARCH("frio", H104)), "Temperatura", IF(ISNUMBER(SEARCH("calor", H104)), "Temperatura", IF(ISNUMBER(SEARCH("sol", H104)), "Estado del Cielo", IF(ISNUMBER(SEARCH("nubla", H104)), "Estado del Cielo", IF(ISNUMBER(SEARCH("vient", H104)), "Viento y Humedad", IF(ISNUMBER(SEARCH("humed", H104)), "Viento y Humedad", "Otros")))))))))</f>
        <v>Estado del Cielo</v>
      </c>
      <c r="J104" s="23" t="s">
        <v>20</v>
      </c>
      <c r="K104" s="18" t="str">
        <f t="shared" si="3"/>
        <v>Sí</v>
      </c>
      <c r="L104" s="18" t="str">
        <f t="shared" si="4"/>
        <v>No</v>
      </c>
      <c r="M104" s="18" t="str">
        <f t="shared" si="5"/>
        <v>No</v>
      </c>
      <c r="N104" s="23" t="s">
        <v>417</v>
      </c>
      <c r="O104" s="14" t="str">
        <f t="shared" si="25"/>
        <v>Salud y Bienestar</v>
      </c>
    </row>
    <row r="105" ht="22.5" customHeight="1">
      <c r="A105" s="20">
        <v>46127.42497414352</v>
      </c>
      <c r="B105" s="11">
        <f t="shared" si="1"/>
        <v>46127</v>
      </c>
      <c r="C105" s="12" t="s">
        <v>15</v>
      </c>
      <c r="D105" s="21" t="s">
        <v>418</v>
      </c>
      <c r="E105" s="21" t="s">
        <v>419</v>
      </c>
      <c r="F105" s="22">
        <v>13.0</v>
      </c>
      <c r="G105" s="23" t="s">
        <v>420</v>
      </c>
      <c r="H105" s="16" t="str">
        <f t="shared" si="2"/>
        <v>el clima del celular</v>
      </c>
      <c r="I105" s="17" t="s">
        <v>19</v>
      </c>
      <c r="J105" s="23" t="s">
        <v>55</v>
      </c>
      <c r="K105" s="18" t="str">
        <f t="shared" si="3"/>
        <v>No</v>
      </c>
      <c r="L105" s="18" t="str">
        <f t="shared" si="4"/>
        <v>No</v>
      </c>
      <c r="M105" s="18" t="str">
        <f t="shared" si="5"/>
        <v>Sí</v>
      </c>
      <c r="N105" s="23" t="s">
        <v>421</v>
      </c>
      <c r="O105" s="14" t="s">
        <v>22</v>
      </c>
    </row>
    <row r="106" ht="22.5" customHeight="1">
      <c r="A106" s="20">
        <v>46127.42723178241</v>
      </c>
      <c r="B106" s="11">
        <f t="shared" si="1"/>
        <v>46127</v>
      </c>
      <c r="C106" s="12" t="s">
        <v>15</v>
      </c>
      <c r="D106" s="21" t="s">
        <v>422</v>
      </c>
      <c r="E106" s="21" t="s">
        <v>423</v>
      </c>
      <c r="F106" s="22">
        <v>12.0</v>
      </c>
      <c r="G106" s="23" t="s">
        <v>424</v>
      </c>
      <c r="H106" s="16" t="str">
        <f t="shared" si="2"/>
        <v>verificar que el clima sea adapable (que no llueva)</v>
      </c>
      <c r="I106" s="17" t="s">
        <v>19</v>
      </c>
      <c r="J106" s="23" t="s">
        <v>20</v>
      </c>
      <c r="K106" s="18" t="str">
        <f t="shared" si="3"/>
        <v>Sí</v>
      </c>
      <c r="L106" s="18" t="str">
        <f t="shared" si="4"/>
        <v>No</v>
      </c>
      <c r="M106" s="18" t="str">
        <f t="shared" si="5"/>
        <v>No</v>
      </c>
      <c r="N106" s="23" t="s">
        <v>425</v>
      </c>
      <c r="O106" s="14" t="s">
        <v>22</v>
      </c>
    </row>
    <row r="107" ht="22.5" customHeight="1">
      <c r="A107" s="20">
        <v>46127.43009152778</v>
      </c>
      <c r="B107" s="11">
        <f t="shared" si="1"/>
        <v>46127</v>
      </c>
      <c r="C107" s="12" t="s">
        <v>15</v>
      </c>
      <c r="D107" s="21" t="s">
        <v>426</v>
      </c>
      <c r="E107" s="21" t="s">
        <v>427</v>
      </c>
      <c r="F107" s="22">
        <v>11.0</v>
      </c>
      <c r="G107" s="23" t="s">
        <v>428</v>
      </c>
      <c r="H107" s="16" t="str">
        <f t="shared" si="2"/>
        <v>soleado pero fresco</v>
      </c>
      <c r="I107" s="17" t="str">
        <f t="shared" ref="I107:I108" si="26">IF(ISNUMBER(SEARCH("lluvi", H107)), "Precipitaciones", IF(ISNUMBER(SEARCH("precipitaci", H107)), "Precipitaciones", IF(ISNUMBER(SEARCH("grad", H107)), "Temperatura", IF(ISNUMBER(SEARCH("frio", H107)), "Temperatura", IF(ISNUMBER(SEARCH("calor", H107)), "Temperatura", IF(ISNUMBER(SEARCH("sol", H107)), "Estado del Cielo", IF(ISNUMBER(SEARCH("nubla", H107)), "Estado del Cielo", IF(ISNUMBER(SEARCH("vient", H107)), "Viento y Humedad", IF(ISNUMBER(SEARCH("humed", H107)), "Viento y Humedad", "Otros")))))))))</f>
        <v>Estado del Cielo</v>
      </c>
      <c r="J107" s="23" t="s">
        <v>55</v>
      </c>
      <c r="K107" s="18" t="str">
        <f t="shared" si="3"/>
        <v>No</v>
      </c>
      <c r="L107" s="18" t="str">
        <f t="shared" si="4"/>
        <v>No</v>
      </c>
      <c r="M107" s="18" t="str">
        <f t="shared" si="5"/>
        <v>Sí</v>
      </c>
      <c r="N107" s="23" t="s">
        <v>429</v>
      </c>
      <c r="O107" s="14" t="s">
        <v>22</v>
      </c>
    </row>
    <row r="108" ht="22.5" customHeight="1">
      <c r="A108" s="20">
        <v>46127.430724618054</v>
      </c>
      <c r="B108" s="11">
        <f t="shared" si="1"/>
        <v>46127</v>
      </c>
      <c r="C108" s="12" t="s">
        <v>15</v>
      </c>
      <c r="D108" s="21" t="s">
        <v>430</v>
      </c>
      <c r="E108" s="21" t="s">
        <v>431</v>
      </c>
      <c r="F108" s="22">
        <v>14.0</v>
      </c>
      <c r="G108" s="23" t="s">
        <v>432</v>
      </c>
      <c r="H108" s="16" t="str">
        <f t="shared" si="2"/>
        <v>si llueve y la cantidad de humedad</v>
      </c>
      <c r="I108" s="17" t="str">
        <f t="shared" si="26"/>
        <v>Viento y Humedad</v>
      </c>
      <c r="J108" s="23" t="s">
        <v>60</v>
      </c>
      <c r="K108" s="18" t="str">
        <f t="shared" si="3"/>
        <v>Sí</v>
      </c>
      <c r="L108" s="18" t="str">
        <f t="shared" si="4"/>
        <v>Sí</v>
      </c>
      <c r="M108" s="18" t="str">
        <f t="shared" si="5"/>
        <v>Sí</v>
      </c>
      <c r="N108" s="23" t="s">
        <v>433</v>
      </c>
      <c r="O108" s="14" t="s">
        <v>22</v>
      </c>
    </row>
    <row r="109" ht="22.5" customHeight="1">
      <c r="A109" s="20">
        <v>46127.43092280092</v>
      </c>
      <c r="B109" s="11">
        <f t="shared" si="1"/>
        <v>46127</v>
      </c>
      <c r="C109" s="12" t="s">
        <v>15</v>
      </c>
      <c r="D109" s="21" t="s">
        <v>434</v>
      </c>
      <c r="E109" s="21" t="s">
        <v>435</v>
      </c>
      <c r="F109" s="22">
        <v>14.0</v>
      </c>
      <c r="G109" s="23" t="s">
        <v>436</v>
      </c>
      <c r="H109" s="16" t="str">
        <f t="shared" si="2"/>
        <v>un clima calido</v>
      </c>
      <c r="I109" s="17" t="s">
        <v>19</v>
      </c>
      <c r="J109" s="23" t="s">
        <v>20</v>
      </c>
      <c r="K109" s="18" t="str">
        <f t="shared" si="3"/>
        <v>Sí</v>
      </c>
      <c r="L109" s="18" t="str">
        <f t="shared" si="4"/>
        <v>No</v>
      </c>
      <c r="M109" s="18" t="str">
        <f t="shared" si="5"/>
        <v>No</v>
      </c>
      <c r="N109" s="23" t="s">
        <v>437</v>
      </c>
      <c r="O109" s="14" t="s">
        <v>22</v>
      </c>
    </row>
    <row r="110" ht="22.5" customHeight="1">
      <c r="A110" s="20">
        <v>46127.431952638886</v>
      </c>
      <c r="B110" s="11">
        <f t="shared" si="1"/>
        <v>46127</v>
      </c>
      <c r="C110" s="12" t="s">
        <v>15</v>
      </c>
      <c r="D110" s="21" t="s">
        <v>438</v>
      </c>
      <c r="E110" s="21" t="s">
        <v>439</v>
      </c>
      <c r="F110" s="22">
        <v>14.0</v>
      </c>
      <c r="G110" s="23" t="s">
        <v>440</v>
      </c>
      <c r="H110" s="16" t="str">
        <f t="shared" si="2"/>
        <v>que este lindo el dia osea soleado </v>
      </c>
      <c r="I110" s="17" t="str">
        <f t="shared" ref="I110:I115" si="27">IF(ISNUMBER(SEARCH("lluvi", H110)), "Precipitaciones", IF(ISNUMBER(SEARCH("precipitaci", H110)), "Precipitaciones", IF(ISNUMBER(SEARCH("grad", H110)), "Temperatura", IF(ISNUMBER(SEARCH("frio", H110)), "Temperatura", IF(ISNUMBER(SEARCH("calor", H110)), "Temperatura", IF(ISNUMBER(SEARCH("sol", H110)), "Estado del Cielo", IF(ISNUMBER(SEARCH("nubla", H110)), "Estado del Cielo", IF(ISNUMBER(SEARCH("vient", H110)), "Viento y Humedad", IF(ISNUMBER(SEARCH("humed", H110)), "Viento y Humedad", "Otros")))))))))</f>
        <v>Estado del Cielo</v>
      </c>
      <c r="J110" s="23" t="s">
        <v>20</v>
      </c>
      <c r="K110" s="18" t="str">
        <f t="shared" si="3"/>
        <v>Sí</v>
      </c>
      <c r="L110" s="18" t="str">
        <f t="shared" si="4"/>
        <v>No</v>
      </c>
      <c r="M110" s="18" t="str">
        <f t="shared" si="5"/>
        <v>No</v>
      </c>
      <c r="N110" s="23" t="s">
        <v>441</v>
      </c>
      <c r="O110" s="14" t="s">
        <v>22</v>
      </c>
    </row>
    <row r="111" ht="22.5" customHeight="1">
      <c r="A111" s="20">
        <v>46127.432074131946</v>
      </c>
      <c r="B111" s="11">
        <f t="shared" si="1"/>
        <v>46127</v>
      </c>
      <c r="C111" s="12" t="s">
        <v>15</v>
      </c>
      <c r="D111" s="21" t="s">
        <v>442</v>
      </c>
      <c r="E111" s="21" t="s">
        <v>443</v>
      </c>
      <c r="F111" s="22">
        <v>14.0</v>
      </c>
      <c r="G111" s="23" t="s">
        <v>444</v>
      </c>
      <c r="H111" s="16" t="str">
        <f t="shared" si="2"/>
        <v>nublado pero sin llover</v>
      </c>
      <c r="I111" s="17" t="str">
        <f t="shared" si="27"/>
        <v>Estado del Cielo</v>
      </c>
      <c r="J111" s="23" t="s">
        <v>20</v>
      </c>
      <c r="K111" s="18" t="str">
        <f t="shared" si="3"/>
        <v>Sí</v>
      </c>
      <c r="L111" s="18" t="str">
        <f t="shared" si="4"/>
        <v>No</v>
      </c>
      <c r="M111" s="18" t="str">
        <f t="shared" si="5"/>
        <v>No</v>
      </c>
      <c r="N111" s="23" t="s">
        <v>445</v>
      </c>
      <c r="O111" s="14" t="s">
        <v>22</v>
      </c>
    </row>
    <row r="112" ht="22.5" customHeight="1">
      <c r="A112" s="20">
        <v>46127.43235376157</v>
      </c>
      <c r="B112" s="11">
        <f t="shared" si="1"/>
        <v>46127</v>
      </c>
      <c r="C112" s="12" t="s">
        <v>15</v>
      </c>
      <c r="D112" s="21" t="s">
        <v>446</v>
      </c>
      <c r="E112" s="21" t="s">
        <v>447</v>
      </c>
      <c r="F112" s="22">
        <v>14.0</v>
      </c>
      <c r="G112" s="23" t="s">
        <v>79</v>
      </c>
      <c r="H112" s="16" t="str">
        <f t="shared" si="2"/>
        <v>soleado</v>
      </c>
      <c r="I112" s="17" t="str">
        <f t="shared" si="27"/>
        <v>Estado del Cielo</v>
      </c>
      <c r="J112" s="23" t="s">
        <v>20</v>
      </c>
      <c r="K112" s="18" t="str">
        <f t="shared" si="3"/>
        <v>Sí</v>
      </c>
      <c r="L112" s="18" t="str">
        <f t="shared" si="4"/>
        <v>No</v>
      </c>
      <c r="M112" s="18" t="str">
        <f t="shared" si="5"/>
        <v>No</v>
      </c>
      <c r="N112" s="23" t="s">
        <v>448</v>
      </c>
      <c r="O112" s="14" t="s">
        <v>22</v>
      </c>
    </row>
    <row r="113" ht="22.5" customHeight="1">
      <c r="A113" s="20">
        <v>46127.432693807874</v>
      </c>
      <c r="B113" s="11">
        <f t="shared" si="1"/>
        <v>46127</v>
      </c>
      <c r="C113" s="12" t="s">
        <v>15</v>
      </c>
      <c r="D113" s="21" t="s">
        <v>66</v>
      </c>
      <c r="E113" s="21" t="s">
        <v>449</v>
      </c>
      <c r="F113" s="22">
        <v>14.0</v>
      </c>
      <c r="G113" s="23" t="s">
        <v>450</v>
      </c>
      <c r="H113" s="16" t="str">
        <f t="shared" si="2"/>
        <v>lluvia</v>
      </c>
      <c r="I113" s="17" t="str">
        <f t="shared" si="27"/>
        <v>Precipitaciones</v>
      </c>
      <c r="J113" s="23" t="s">
        <v>60</v>
      </c>
      <c r="K113" s="18" t="str">
        <f t="shared" si="3"/>
        <v>Sí</v>
      </c>
      <c r="L113" s="18" t="str">
        <f t="shared" si="4"/>
        <v>Sí</v>
      </c>
      <c r="M113" s="18" t="str">
        <f t="shared" si="5"/>
        <v>Sí</v>
      </c>
      <c r="N113" s="23" t="s">
        <v>451</v>
      </c>
      <c r="O113" s="14" t="s">
        <v>22</v>
      </c>
    </row>
    <row r="114" ht="22.5" customHeight="1">
      <c r="A114" s="20">
        <v>46127.433128749995</v>
      </c>
      <c r="B114" s="11">
        <f t="shared" si="1"/>
        <v>46127</v>
      </c>
      <c r="C114" s="12" t="s">
        <v>15</v>
      </c>
      <c r="D114" s="21" t="s">
        <v>452</v>
      </c>
      <c r="E114" s="21" t="s">
        <v>453</v>
      </c>
      <c r="F114" s="22">
        <v>14.0</v>
      </c>
      <c r="G114" s="23" t="s">
        <v>454</v>
      </c>
      <c r="H114" s="16" t="str">
        <f t="shared" si="2"/>
        <v>si la probabilidad de lluvia es cero porciento (o muy baja), se puede hacer la actividad al aire libre con confianza.</v>
      </c>
      <c r="I114" s="17" t="str">
        <f t="shared" si="27"/>
        <v>Precipitaciones</v>
      </c>
      <c r="J114" s="23" t="s">
        <v>60</v>
      </c>
      <c r="K114" s="18" t="str">
        <f t="shared" si="3"/>
        <v>Sí</v>
      </c>
      <c r="L114" s="18" t="str">
        <f t="shared" si="4"/>
        <v>Sí</v>
      </c>
      <c r="M114" s="18" t="str">
        <f t="shared" si="5"/>
        <v>Sí</v>
      </c>
      <c r="N114" s="23" t="s">
        <v>455</v>
      </c>
      <c r="O114" s="14" t="s">
        <v>22</v>
      </c>
    </row>
    <row r="115" ht="22.5" customHeight="1">
      <c r="A115" s="20">
        <v>46127.43339259259</v>
      </c>
      <c r="B115" s="11">
        <f t="shared" si="1"/>
        <v>46127</v>
      </c>
      <c r="C115" s="12" t="s">
        <v>15</v>
      </c>
      <c r="D115" s="21" t="s">
        <v>456</v>
      </c>
      <c r="E115" s="21" t="s">
        <v>457</v>
      </c>
      <c r="F115" s="22">
        <v>13.0</v>
      </c>
      <c r="G115" s="23" t="s">
        <v>458</v>
      </c>
      <c r="H115" s="16" t="str">
        <f t="shared" si="2"/>
        <v>nublado</v>
      </c>
      <c r="I115" s="17" t="str">
        <f t="shared" si="27"/>
        <v>Estado del Cielo</v>
      </c>
      <c r="J115" s="23" t="s">
        <v>55</v>
      </c>
      <c r="K115" s="18" t="str">
        <f t="shared" si="3"/>
        <v>No</v>
      </c>
      <c r="L115" s="18" t="str">
        <f t="shared" si="4"/>
        <v>No</v>
      </c>
      <c r="M115" s="18" t="str">
        <f t="shared" si="5"/>
        <v>Sí</v>
      </c>
      <c r="N115" s="23" t="s">
        <v>164</v>
      </c>
      <c r="O115" s="14" t="s">
        <v>22</v>
      </c>
    </row>
    <row r="116" ht="22.5" customHeight="1">
      <c r="A116" s="20">
        <v>46127.43347609954</v>
      </c>
      <c r="B116" s="11">
        <f t="shared" si="1"/>
        <v>46127</v>
      </c>
      <c r="C116" s="12" t="s">
        <v>15</v>
      </c>
      <c r="D116" s="21" t="s">
        <v>459</v>
      </c>
      <c r="E116" s="21" t="s">
        <v>460</v>
      </c>
      <c r="F116" s="22">
        <v>14.0</v>
      </c>
      <c r="G116" s="23" t="s">
        <v>461</v>
      </c>
      <c r="H116" s="16" t="str">
        <f t="shared" si="2"/>
        <v>si el clima es favorable, realizar una actividad afuera</v>
      </c>
      <c r="I116" s="17" t="s">
        <v>19</v>
      </c>
      <c r="J116" s="23" t="s">
        <v>50</v>
      </c>
      <c r="K116" s="18" t="str">
        <f t="shared" si="3"/>
        <v>No</v>
      </c>
      <c r="L116" s="18" t="str">
        <f t="shared" si="4"/>
        <v>Sí</v>
      </c>
      <c r="M116" s="18" t="str">
        <f t="shared" si="5"/>
        <v>No</v>
      </c>
      <c r="N116" s="23" t="s">
        <v>462</v>
      </c>
      <c r="O116" s="14" t="s">
        <v>22</v>
      </c>
    </row>
    <row r="117" ht="22.5" customHeight="1">
      <c r="A117" s="20">
        <v>46127.436623125</v>
      </c>
      <c r="B117" s="11">
        <f t="shared" si="1"/>
        <v>46127</v>
      </c>
      <c r="C117" s="12" t="s">
        <v>15</v>
      </c>
      <c r="D117" s="21" t="s">
        <v>463</v>
      </c>
      <c r="E117" s="21" t="s">
        <v>464</v>
      </c>
      <c r="F117" s="22">
        <v>17.0</v>
      </c>
      <c r="G117" s="23" t="s">
        <v>465</v>
      </c>
      <c r="H117" s="16" t="str">
        <f t="shared" si="2"/>
        <v>si esta pronosticado lluvia granizo o algo así</v>
      </c>
      <c r="I117" s="17" t="str">
        <f t="shared" ref="I117:I121" si="28">IF(ISNUMBER(SEARCH("lluvi", H117)), "Precipitaciones", IF(ISNUMBER(SEARCH("precipitaci", H117)), "Precipitaciones", IF(ISNUMBER(SEARCH("grad", H117)), "Temperatura", IF(ISNUMBER(SEARCH("frio", H117)), "Temperatura", IF(ISNUMBER(SEARCH("calor", H117)), "Temperatura", IF(ISNUMBER(SEARCH("sol", H117)), "Estado del Cielo", IF(ISNUMBER(SEARCH("nubla", H117)), "Estado del Cielo", IF(ISNUMBER(SEARCH("vient", H117)), "Viento y Humedad", IF(ISNUMBER(SEARCH("humed", H117)), "Viento y Humedad", "Otros")))))))))</f>
        <v>Precipitaciones</v>
      </c>
      <c r="J117" s="23" t="s">
        <v>60</v>
      </c>
      <c r="K117" s="18" t="str">
        <f t="shared" si="3"/>
        <v>Sí</v>
      </c>
      <c r="L117" s="18" t="str">
        <f t="shared" si="4"/>
        <v>Sí</v>
      </c>
      <c r="M117" s="18" t="str">
        <f t="shared" si="5"/>
        <v>Sí</v>
      </c>
      <c r="N117" s="23" t="s">
        <v>466</v>
      </c>
      <c r="O117" s="14" t="s">
        <v>22</v>
      </c>
    </row>
    <row r="118" ht="22.5" customHeight="1">
      <c r="A118" s="20">
        <v>46127.43683908565</v>
      </c>
      <c r="B118" s="11">
        <f t="shared" si="1"/>
        <v>46127</v>
      </c>
      <c r="C118" s="12" t="s">
        <v>15</v>
      </c>
      <c r="D118" s="21" t="s">
        <v>467</v>
      </c>
      <c r="E118" s="21" t="s">
        <v>468</v>
      </c>
      <c r="F118" s="22">
        <v>16.0</v>
      </c>
      <c r="G118" s="23" t="s">
        <v>469</v>
      </c>
      <c r="H118" s="16" t="str">
        <f t="shared" si="2"/>
        <v>si llueve o va a llover, la temperatura, humedad y el polen</v>
      </c>
      <c r="I118" s="17" t="str">
        <f t="shared" si="28"/>
        <v>Viento y Humedad</v>
      </c>
      <c r="J118" s="23" t="s">
        <v>55</v>
      </c>
      <c r="K118" s="18" t="str">
        <f t="shared" si="3"/>
        <v>No</v>
      </c>
      <c r="L118" s="18" t="str">
        <f t="shared" si="4"/>
        <v>No</v>
      </c>
      <c r="M118" s="18" t="str">
        <f t="shared" si="5"/>
        <v>Sí</v>
      </c>
      <c r="N118" s="23" t="s">
        <v>470</v>
      </c>
      <c r="O118" s="14" t="s">
        <v>22</v>
      </c>
    </row>
    <row r="119" ht="22.5" customHeight="1">
      <c r="A119" s="20">
        <v>46127.43685564815</v>
      </c>
      <c r="B119" s="11">
        <f t="shared" si="1"/>
        <v>46127</v>
      </c>
      <c r="C119" s="12" t="s">
        <v>15</v>
      </c>
      <c r="D119" s="21" t="s">
        <v>471</v>
      </c>
      <c r="E119" s="21" t="s">
        <v>472</v>
      </c>
      <c r="F119" s="22">
        <v>14.0</v>
      </c>
      <c r="G119" s="23" t="s">
        <v>299</v>
      </c>
      <c r="H119" s="16" t="str">
        <f t="shared" si="2"/>
        <v>nublado </v>
      </c>
      <c r="I119" s="17" t="str">
        <f t="shared" si="28"/>
        <v>Estado del Cielo</v>
      </c>
      <c r="J119" s="23" t="s">
        <v>50</v>
      </c>
      <c r="K119" s="18" t="str">
        <f t="shared" si="3"/>
        <v>No</v>
      </c>
      <c r="L119" s="18" t="str">
        <f t="shared" si="4"/>
        <v>Sí</v>
      </c>
      <c r="M119" s="18" t="str">
        <f t="shared" si="5"/>
        <v>No</v>
      </c>
      <c r="N119" s="23" t="s">
        <v>473</v>
      </c>
      <c r="O119" s="14" t="s">
        <v>22</v>
      </c>
    </row>
    <row r="120" ht="22.5" customHeight="1">
      <c r="A120" s="20">
        <v>46127.43692429399</v>
      </c>
      <c r="B120" s="11">
        <f t="shared" si="1"/>
        <v>46127</v>
      </c>
      <c r="C120" s="12" t="s">
        <v>15</v>
      </c>
      <c r="D120" s="21" t="s">
        <v>474</v>
      </c>
      <c r="E120" s="21" t="s">
        <v>475</v>
      </c>
      <c r="F120" s="22">
        <v>17.0</v>
      </c>
      <c r="G120" s="23" t="s">
        <v>476</v>
      </c>
      <c r="H120" s="16" t="str">
        <f t="shared" si="2"/>
        <v>miro el pronóstico alargado del día , la temperatura actual y probabilidad de precipitación </v>
      </c>
      <c r="I120" s="17" t="str">
        <f t="shared" si="28"/>
        <v>Precipitaciones</v>
      </c>
      <c r="J120" s="23" t="s">
        <v>55</v>
      </c>
      <c r="K120" s="18" t="str">
        <f t="shared" si="3"/>
        <v>No</v>
      </c>
      <c r="L120" s="18" t="str">
        <f t="shared" si="4"/>
        <v>No</v>
      </c>
      <c r="M120" s="18" t="str">
        <f t="shared" si="5"/>
        <v>Sí</v>
      </c>
      <c r="N120" s="23" t="s">
        <v>477</v>
      </c>
      <c r="O120" s="14" t="s">
        <v>22</v>
      </c>
    </row>
    <row r="121" ht="22.5" customHeight="1">
      <c r="A121" s="20">
        <v>46127.438478310185</v>
      </c>
      <c r="B121" s="11">
        <f t="shared" si="1"/>
        <v>46127</v>
      </c>
      <c r="C121" s="12" t="s">
        <v>15</v>
      </c>
      <c r="D121" s="21" t="s">
        <v>478</v>
      </c>
      <c r="E121" s="21" t="s">
        <v>479</v>
      </c>
      <c r="F121" s="22">
        <v>17.0</v>
      </c>
      <c r="G121" s="23" t="s">
        <v>480</v>
      </c>
      <c r="H121" s="16" t="str">
        <f t="shared" si="2"/>
        <v>si no va a llover, si el sol no va a pegar tanto, o si no va a estar muy frío </v>
      </c>
      <c r="I121" s="17" t="str">
        <f t="shared" si="28"/>
        <v>Estado del Cielo</v>
      </c>
      <c r="J121" s="23" t="s">
        <v>60</v>
      </c>
      <c r="K121" s="18" t="str">
        <f t="shared" si="3"/>
        <v>Sí</v>
      </c>
      <c r="L121" s="18" t="str">
        <f t="shared" si="4"/>
        <v>Sí</v>
      </c>
      <c r="M121" s="18" t="str">
        <f t="shared" si="5"/>
        <v>Sí</v>
      </c>
      <c r="N121" s="23" t="s">
        <v>481</v>
      </c>
      <c r="O121" s="14" t="s">
        <v>22</v>
      </c>
    </row>
    <row r="122" ht="22.5" customHeight="1">
      <c r="A122" s="20">
        <v>46127.43897934028</v>
      </c>
      <c r="B122" s="11">
        <f t="shared" si="1"/>
        <v>46127</v>
      </c>
      <c r="C122" s="12" t="s">
        <v>15</v>
      </c>
      <c r="D122" s="21" t="s">
        <v>482</v>
      </c>
      <c r="E122" s="21" t="s">
        <v>483</v>
      </c>
      <c r="F122" s="22">
        <v>17.0</v>
      </c>
      <c r="G122" s="23" t="s">
        <v>484</v>
      </c>
      <c r="H122" s="16" t="str">
        <f t="shared" si="2"/>
        <v>la temperatura, y si va a llover o no.</v>
      </c>
      <c r="I122" s="17" t="s">
        <v>19</v>
      </c>
      <c r="J122" s="23" t="s">
        <v>60</v>
      </c>
      <c r="K122" s="18" t="str">
        <f t="shared" si="3"/>
        <v>Sí</v>
      </c>
      <c r="L122" s="18" t="str">
        <f t="shared" si="4"/>
        <v>Sí</v>
      </c>
      <c r="M122" s="18" t="str">
        <f t="shared" si="5"/>
        <v>Sí</v>
      </c>
      <c r="N122" s="23" t="s">
        <v>485</v>
      </c>
      <c r="O122" s="14" t="s">
        <v>22</v>
      </c>
    </row>
    <row r="123" ht="22.5" customHeight="1">
      <c r="A123" s="20">
        <v>46127.43898869213</v>
      </c>
      <c r="B123" s="11">
        <f t="shared" si="1"/>
        <v>46127</v>
      </c>
      <c r="C123" s="12" t="s">
        <v>15</v>
      </c>
      <c r="D123" s="21" t="s">
        <v>486</v>
      </c>
      <c r="E123" s="21" t="s">
        <v>487</v>
      </c>
      <c r="F123" s="22">
        <v>17.0</v>
      </c>
      <c r="G123" s="23" t="s">
        <v>488</v>
      </c>
      <c r="H123" s="16" t="str">
        <f t="shared" si="2"/>
        <v>exactitud de la lluvia </v>
      </c>
      <c r="I123" s="17" t="str">
        <f t="shared" ref="I123:I127" si="29">IF(ISNUMBER(SEARCH("lluvi", H123)), "Precipitaciones", IF(ISNUMBER(SEARCH("precipitaci", H123)), "Precipitaciones", IF(ISNUMBER(SEARCH("grad", H123)), "Temperatura", IF(ISNUMBER(SEARCH("frio", H123)), "Temperatura", IF(ISNUMBER(SEARCH("calor", H123)), "Temperatura", IF(ISNUMBER(SEARCH("sol", H123)), "Estado del Cielo", IF(ISNUMBER(SEARCH("nubla", H123)), "Estado del Cielo", IF(ISNUMBER(SEARCH("vient", H123)), "Viento y Humedad", IF(ISNUMBER(SEARCH("humed", H123)), "Viento y Humedad", "Otros")))))))))</f>
        <v>Precipitaciones</v>
      </c>
      <c r="J123" s="23" t="s">
        <v>20</v>
      </c>
      <c r="K123" s="18" t="str">
        <f t="shared" si="3"/>
        <v>Sí</v>
      </c>
      <c r="L123" s="18" t="str">
        <f t="shared" si="4"/>
        <v>No</v>
      </c>
      <c r="M123" s="18" t="str">
        <f t="shared" si="5"/>
        <v>No</v>
      </c>
      <c r="N123" s="23" t="s">
        <v>489</v>
      </c>
      <c r="O123" s="14" t="s">
        <v>22</v>
      </c>
    </row>
    <row r="124" ht="22.5" customHeight="1">
      <c r="A124" s="20">
        <v>46127.43901430556</v>
      </c>
      <c r="B124" s="11">
        <f t="shared" si="1"/>
        <v>46127</v>
      </c>
      <c r="C124" s="12" t="s">
        <v>15</v>
      </c>
      <c r="D124" s="21" t="s">
        <v>141</v>
      </c>
      <c r="E124" s="21" t="s">
        <v>142</v>
      </c>
      <c r="F124" s="22">
        <v>17.0</v>
      </c>
      <c r="G124" s="23" t="s">
        <v>490</v>
      </c>
      <c r="H124" s="16" t="str">
        <f t="shared" si="2"/>
        <v>saber cómo estaría el clima durante el evento realizado. si hay ningún extremo tanto como calor, frío o lluvia se haría sin problema </v>
      </c>
      <c r="I124" s="17" t="str">
        <f t="shared" si="29"/>
        <v>Precipitaciones</v>
      </c>
      <c r="J124" s="23" t="s">
        <v>50</v>
      </c>
      <c r="K124" s="18" t="str">
        <f t="shared" si="3"/>
        <v>No</v>
      </c>
      <c r="L124" s="18" t="str">
        <f t="shared" si="4"/>
        <v>Sí</v>
      </c>
      <c r="M124" s="18" t="str">
        <f t="shared" si="5"/>
        <v>No</v>
      </c>
      <c r="N124" s="23" t="s">
        <v>491</v>
      </c>
      <c r="O124" s="14" t="s">
        <v>22</v>
      </c>
    </row>
    <row r="125" ht="22.5" customHeight="1">
      <c r="A125" s="20">
        <v>46127.43913517361</v>
      </c>
      <c r="B125" s="11">
        <f t="shared" si="1"/>
        <v>46127</v>
      </c>
      <c r="C125" s="12" t="s">
        <v>15</v>
      </c>
      <c r="D125" s="21" t="s">
        <v>492</v>
      </c>
      <c r="E125" s="21" t="s">
        <v>493</v>
      </c>
      <c r="F125" s="22">
        <v>17.0</v>
      </c>
      <c r="G125" s="23" t="s">
        <v>494</v>
      </c>
      <c r="H125" s="16" t="str">
        <f t="shared" si="2"/>
        <v>me fijaría en sí va a llover o va a estar muy fuerte el sol. </v>
      </c>
      <c r="I125" s="17" t="str">
        <f t="shared" si="29"/>
        <v>Estado del Cielo</v>
      </c>
      <c r="J125" s="23" t="s">
        <v>60</v>
      </c>
      <c r="K125" s="18" t="str">
        <f t="shared" si="3"/>
        <v>Sí</v>
      </c>
      <c r="L125" s="18" t="str">
        <f t="shared" si="4"/>
        <v>Sí</v>
      </c>
      <c r="M125" s="18" t="str">
        <f t="shared" si="5"/>
        <v>Sí</v>
      </c>
      <c r="N125" s="23" t="s">
        <v>495</v>
      </c>
      <c r="O125" s="14" t="s">
        <v>22</v>
      </c>
    </row>
    <row r="126" ht="22.5" customHeight="1">
      <c r="A126" s="20">
        <v>46127.43923261574</v>
      </c>
      <c r="B126" s="11">
        <f t="shared" si="1"/>
        <v>46127</v>
      </c>
      <c r="C126" s="12" t="s">
        <v>15</v>
      </c>
      <c r="D126" s="21" t="s">
        <v>496</v>
      </c>
      <c r="E126" s="21" t="s">
        <v>497</v>
      </c>
      <c r="F126" s="22">
        <v>17.0</v>
      </c>
      <c r="G126" s="23" t="s">
        <v>498</v>
      </c>
      <c r="H126" s="16" t="str">
        <f t="shared" si="2"/>
        <v>la precipitación, y un mini mapa de las tormentas en el área/zona</v>
      </c>
      <c r="I126" s="17" t="str">
        <f t="shared" si="29"/>
        <v>Precipitaciones</v>
      </c>
      <c r="J126" s="23" t="s">
        <v>60</v>
      </c>
      <c r="K126" s="18" t="str">
        <f t="shared" si="3"/>
        <v>Sí</v>
      </c>
      <c r="L126" s="18" t="str">
        <f t="shared" si="4"/>
        <v>Sí</v>
      </c>
      <c r="M126" s="18" t="str">
        <f t="shared" si="5"/>
        <v>Sí</v>
      </c>
      <c r="N126" s="23" t="s">
        <v>499</v>
      </c>
      <c r="O126" s="14" t="s">
        <v>22</v>
      </c>
    </row>
    <row r="127" ht="22.5" customHeight="1">
      <c r="A127" s="20">
        <v>46127.43935247685</v>
      </c>
      <c r="B127" s="11">
        <f t="shared" si="1"/>
        <v>46127</v>
      </c>
      <c r="C127" s="12" t="s">
        <v>15</v>
      </c>
      <c r="D127" s="21" t="s">
        <v>120</v>
      </c>
      <c r="E127" s="21" t="s">
        <v>121</v>
      </c>
      <c r="F127" s="22">
        <v>18.0</v>
      </c>
      <c r="G127" s="23" t="s">
        <v>500</v>
      </c>
      <c r="H127" s="16" t="str">
        <f t="shared" si="2"/>
        <v>el porcentaje de humedad, la probabilidad de lluvia y si está soleado o nublado </v>
      </c>
      <c r="I127" s="17" t="str">
        <f t="shared" si="29"/>
        <v>Precipitaciones</v>
      </c>
      <c r="J127" s="23" t="s">
        <v>50</v>
      </c>
      <c r="K127" s="18" t="str">
        <f t="shared" si="3"/>
        <v>No</v>
      </c>
      <c r="L127" s="18" t="str">
        <f t="shared" si="4"/>
        <v>Sí</v>
      </c>
      <c r="M127" s="18" t="str">
        <f t="shared" si="5"/>
        <v>No</v>
      </c>
      <c r="N127" s="23" t="s">
        <v>501</v>
      </c>
      <c r="O127" s="14" t="s">
        <v>22</v>
      </c>
    </row>
    <row r="128" ht="22.5" customHeight="1">
      <c r="A128" s="20">
        <v>46127.439624872684</v>
      </c>
      <c r="B128" s="11">
        <f t="shared" si="1"/>
        <v>46127</v>
      </c>
      <c r="C128" s="12" t="s">
        <v>15</v>
      </c>
      <c r="D128" s="21" t="s">
        <v>502</v>
      </c>
      <c r="E128" s="21" t="s">
        <v>503</v>
      </c>
      <c r="F128" s="22">
        <v>17.0</v>
      </c>
      <c r="G128" s="23" t="s">
        <v>504</v>
      </c>
      <c r="H128" s="16" t="str">
        <f t="shared" si="2"/>
        <v>que sea muy preciso o por lo menos que la mayoría de las veces acerté </v>
      </c>
      <c r="I128" s="17" t="s">
        <v>19</v>
      </c>
      <c r="J128" s="23" t="s">
        <v>55</v>
      </c>
      <c r="K128" s="18" t="str">
        <f t="shared" si="3"/>
        <v>No</v>
      </c>
      <c r="L128" s="18" t="str">
        <f t="shared" si="4"/>
        <v>No</v>
      </c>
      <c r="M128" s="18" t="str">
        <f t="shared" si="5"/>
        <v>Sí</v>
      </c>
      <c r="N128" s="23" t="s">
        <v>505</v>
      </c>
      <c r="O128" s="14" t="s">
        <v>22</v>
      </c>
    </row>
    <row r="129" ht="22.5" customHeight="1">
      <c r="A129" s="20">
        <v>46127.43968681713</v>
      </c>
      <c r="B129" s="11">
        <f t="shared" si="1"/>
        <v>46127</v>
      </c>
      <c r="C129" s="12" t="s">
        <v>15</v>
      </c>
      <c r="D129" s="21" t="s">
        <v>506</v>
      </c>
      <c r="E129" s="21" t="s">
        <v>507</v>
      </c>
      <c r="F129" s="22">
        <v>17.0</v>
      </c>
      <c r="G129" s="23" t="s">
        <v>508</v>
      </c>
      <c r="H129" s="16" t="str">
        <f t="shared" si="2"/>
        <v>que haya un día soleado y templado</v>
      </c>
      <c r="I129" s="17" t="str">
        <f t="shared" ref="I129:I133" si="30">IF(ISNUMBER(SEARCH("lluvi", H129)), "Precipitaciones", IF(ISNUMBER(SEARCH("precipitaci", H129)), "Precipitaciones", IF(ISNUMBER(SEARCH("grad", H129)), "Temperatura", IF(ISNUMBER(SEARCH("frio", H129)), "Temperatura", IF(ISNUMBER(SEARCH("calor", H129)), "Temperatura", IF(ISNUMBER(SEARCH("sol", H129)), "Estado del Cielo", IF(ISNUMBER(SEARCH("nubla", H129)), "Estado del Cielo", IF(ISNUMBER(SEARCH("vient", H129)), "Viento y Humedad", IF(ISNUMBER(SEARCH("humed", H129)), "Viento y Humedad", "Otros")))))))))</f>
        <v>Estado del Cielo</v>
      </c>
      <c r="J129" s="23" t="s">
        <v>60</v>
      </c>
      <c r="K129" s="18" t="str">
        <f t="shared" si="3"/>
        <v>Sí</v>
      </c>
      <c r="L129" s="18" t="str">
        <f t="shared" si="4"/>
        <v>Sí</v>
      </c>
      <c r="M129" s="18" t="str">
        <f t="shared" si="5"/>
        <v>Sí</v>
      </c>
      <c r="N129" s="23" t="s">
        <v>509</v>
      </c>
      <c r="O129" s="14" t="s">
        <v>22</v>
      </c>
    </row>
    <row r="130" ht="22.5" customHeight="1">
      <c r="A130" s="20">
        <v>46127.439993148146</v>
      </c>
      <c r="B130" s="11">
        <f t="shared" si="1"/>
        <v>46127</v>
      </c>
      <c r="C130" s="12" t="s">
        <v>15</v>
      </c>
      <c r="D130" s="21" t="s">
        <v>510</v>
      </c>
      <c r="E130" s="21" t="s">
        <v>511</v>
      </c>
      <c r="F130" s="22">
        <v>31.0</v>
      </c>
      <c r="G130" s="23" t="s">
        <v>512</v>
      </c>
      <c r="H130" s="16" t="str">
        <f t="shared" si="2"/>
        <v>las probabilidades de lluvia y la temperatura esperada para esa hs</v>
      </c>
      <c r="I130" s="17" t="str">
        <f t="shared" si="30"/>
        <v>Precipitaciones</v>
      </c>
      <c r="J130" s="23" t="s">
        <v>45</v>
      </c>
      <c r="K130" s="18" t="str">
        <f t="shared" si="3"/>
        <v>Sí</v>
      </c>
      <c r="L130" s="18" t="str">
        <f t="shared" si="4"/>
        <v>Sí</v>
      </c>
      <c r="M130" s="18" t="str">
        <f t="shared" si="5"/>
        <v>No</v>
      </c>
      <c r="N130" s="23" t="s">
        <v>513</v>
      </c>
      <c r="O130" s="14" t="s">
        <v>22</v>
      </c>
    </row>
    <row r="131" ht="29.25" customHeight="1">
      <c r="A131" s="20">
        <v>46127.44019405093</v>
      </c>
      <c r="B131" s="11">
        <f t="shared" si="1"/>
        <v>46127</v>
      </c>
      <c r="C131" s="12" t="s">
        <v>15</v>
      </c>
      <c r="D131" s="21" t="s">
        <v>129</v>
      </c>
      <c r="E131" s="21" t="s">
        <v>130</v>
      </c>
      <c r="F131" s="22">
        <v>18.0</v>
      </c>
      <c r="G131" s="23" t="s">
        <v>514</v>
      </c>
      <c r="H131" s="16" t="str">
        <f t="shared" si="2"/>
        <v>sin probabilidad de lluvia</v>
      </c>
      <c r="I131" s="17" t="str">
        <f t="shared" si="30"/>
        <v>Precipitaciones</v>
      </c>
      <c r="J131" s="23" t="s">
        <v>50</v>
      </c>
      <c r="K131" s="18" t="str">
        <f t="shared" si="3"/>
        <v>No</v>
      </c>
      <c r="L131" s="18" t="str">
        <f t="shared" si="4"/>
        <v>Sí</v>
      </c>
      <c r="M131" s="18" t="str">
        <f t="shared" si="5"/>
        <v>No</v>
      </c>
      <c r="N131" s="23" t="s">
        <v>515</v>
      </c>
      <c r="O131" s="14" t="s">
        <v>22</v>
      </c>
    </row>
    <row r="132" ht="22.5" customHeight="1">
      <c r="A132" s="20">
        <v>46127.810320150464</v>
      </c>
      <c r="B132" s="11">
        <f t="shared" si="1"/>
        <v>46127</v>
      </c>
      <c r="C132" s="12" t="s">
        <v>15</v>
      </c>
      <c r="D132" s="21" t="s">
        <v>516</v>
      </c>
      <c r="E132" s="21" t="s">
        <v>517</v>
      </c>
      <c r="F132" s="22">
        <v>11.0</v>
      </c>
      <c r="G132" s="23" t="s">
        <v>518</v>
      </c>
      <c r="H132" s="24" t="str">
        <f t="shared" si="2"/>
        <v>el pronóstico  de lluvia</v>
      </c>
      <c r="I132" s="17" t="str">
        <f t="shared" si="30"/>
        <v>Precipitaciones</v>
      </c>
      <c r="J132" s="23" t="s">
        <v>50</v>
      </c>
      <c r="K132" s="18" t="str">
        <f t="shared" si="3"/>
        <v>No</v>
      </c>
      <c r="L132" s="18" t="str">
        <f t="shared" si="4"/>
        <v>Sí</v>
      </c>
      <c r="M132" s="18" t="str">
        <f t="shared" si="5"/>
        <v>No</v>
      </c>
      <c r="N132" s="23" t="s">
        <v>519</v>
      </c>
      <c r="O132" s="14" t="s">
        <v>22</v>
      </c>
    </row>
    <row r="133" ht="22.5" customHeight="1">
      <c r="A133" s="20">
        <v>46127.887699768515</v>
      </c>
      <c r="B133" s="11">
        <f t="shared" si="1"/>
        <v>46127</v>
      </c>
      <c r="C133" s="12" t="s">
        <v>15</v>
      </c>
      <c r="D133" s="21" t="s">
        <v>520</v>
      </c>
      <c r="E133" s="21" t="s">
        <v>521</v>
      </c>
      <c r="F133" s="22">
        <v>12.0</v>
      </c>
      <c r="G133" s="23" t="s">
        <v>522</v>
      </c>
      <c r="H133" s="24" t="str">
        <f t="shared" si="2"/>
        <v>qe este soleado 
</v>
      </c>
      <c r="I133" s="17" t="str">
        <f t="shared" si="30"/>
        <v>Estado del Cielo</v>
      </c>
      <c r="J133" s="23" t="s">
        <v>55</v>
      </c>
      <c r="K133" s="18" t="str">
        <f t="shared" si="3"/>
        <v>No</v>
      </c>
      <c r="L133" s="18" t="str">
        <f t="shared" si="4"/>
        <v>No</v>
      </c>
      <c r="M133" s="18" t="str">
        <f t="shared" si="5"/>
        <v>Sí</v>
      </c>
      <c r="N133" s="23" t="s">
        <v>523</v>
      </c>
      <c r="O133" s="14" t="s">
        <v>22</v>
      </c>
    </row>
    <row r="134">
      <c r="B134" s="25"/>
      <c r="C134" s="25"/>
      <c r="D134" s="26"/>
      <c r="E134" s="26"/>
      <c r="F134" s="27"/>
      <c r="I134" s="28"/>
      <c r="K134" s="27"/>
      <c r="O134" s="27"/>
    </row>
    <row r="135">
      <c r="B135" s="25"/>
      <c r="C135" s="25"/>
      <c r="D135" s="26"/>
      <c r="E135" s="26"/>
      <c r="F135" s="27"/>
      <c r="I135" s="28"/>
      <c r="K135" s="27"/>
      <c r="O135" s="27"/>
    </row>
    <row r="136">
      <c r="B136" s="25"/>
      <c r="C136" s="25"/>
      <c r="D136" s="26"/>
      <c r="E136" s="26"/>
      <c r="F136" s="27"/>
      <c r="I136" s="28"/>
      <c r="K136" s="27"/>
      <c r="O136" s="27"/>
    </row>
    <row r="137">
      <c r="B137" s="25"/>
      <c r="C137" s="25"/>
      <c r="D137" s="26"/>
      <c r="E137" s="26"/>
      <c r="F137" s="27"/>
      <c r="I137" s="28"/>
      <c r="K137" s="27"/>
      <c r="O137" s="27"/>
    </row>
    <row r="138">
      <c r="B138" s="25"/>
      <c r="C138" s="25"/>
      <c r="D138" s="26"/>
      <c r="E138" s="26"/>
      <c r="F138" s="27"/>
      <c r="I138" s="28"/>
      <c r="K138" s="27"/>
      <c r="O138" s="27"/>
    </row>
    <row r="139">
      <c r="B139" s="25"/>
      <c r="C139" s="25"/>
      <c r="D139" s="26"/>
      <c r="E139" s="26"/>
      <c r="F139" s="27"/>
      <c r="I139" s="28"/>
      <c r="K139" s="27"/>
      <c r="O139" s="27"/>
    </row>
    <row r="140">
      <c r="B140" s="25"/>
      <c r="C140" s="25"/>
      <c r="D140" s="26"/>
      <c r="E140" s="26"/>
      <c r="F140" s="27"/>
      <c r="I140" s="28"/>
      <c r="K140" s="27"/>
      <c r="O140" s="27"/>
    </row>
    <row r="141">
      <c r="B141" s="25"/>
      <c r="C141" s="25"/>
      <c r="D141" s="26"/>
      <c r="E141" s="26"/>
      <c r="F141" s="27"/>
      <c r="I141" s="28"/>
      <c r="K141" s="27"/>
      <c r="O141" s="27"/>
    </row>
    <row r="142">
      <c r="B142" s="25"/>
      <c r="C142" s="25"/>
      <c r="D142" s="26"/>
      <c r="E142" s="26"/>
      <c r="F142" s="27"/>
      <c r="I142" s="28"/>
      <c r="K142" s="27"/>
      <c r="O142" s="27"/>
    </row>
    <row r="143">
      <c r="B143" s="25"/>
      <c r="C143" s="25"/>
      <c r="D143" s="26"/>
      <c r="E143" s="26"/>
      <c r="F143" s="27"/>
      <c r="I143" s="28"/>
      <c r="K143" s="27"/>
      <c r="O143" s="27"/>
    </row>
    <row r="144">
      <c r="B144" s="25"/>
      <c r="C144" s="25"/>
      <c r="D144" s="26"/>
      <c r="E144" s="26"/>
      <c r="F144" s="27"/>
      <c r="I144" s="28"/>
      <c r="K144" s="27"/>
      <c r="O144" s="27"/>
    </row>
    <row r="145">
      <c r="B145" s="25"/>
      <c r="C145" s="25"/>
      <c r="D145" s="26"/>
      <c r="E145" s="26"/>
      <c r="F145" s="27"/>
      <c r="I145" s="28"/>
      <c r="K145" s="27"/>
      <c r="O145" s="27"/>
    </row>
    <row r="146">
      <c r="B146" s="25"/>
      <c r="C146" s="25"/>
      <c r="D146" s="26"/>
      <c r="E146" s="26"/>
      <c r="F146" s="27"/>
      <c r="I146" s="28"/>
      <c r="K146" s="27"/>
      <c r="O146" s="27"/>
    </row>
    <row r="147">
      <c r="B147" s="25"/>
      <c r="C147" s="25"/>
      <c r="D147" s="26"/>
      <c r="E147" s="26"/>
      <c r="F147" s="27"/>
      <c r="I147" s="28"/>
      <c r="K147" s="27"/>
      <c r="O147" s="27"/>
    </row>
    <row r="148">
      <c r="B148" s="25"/>
      <c r="C148" s="25"/>
      <c r="D148" s="26"/>
      <c r="E148" s="26"/>
      <c r="F148" s="27"/>
      <c r="I148" s="28"/>
      <c r="K148" s="27"/>
      <c r="O148" s="27"/>
    </row>
    <row r="149">
      <c r="B149" s="25"/>
      <c r="C149" s="25"/>
      <c r="D149" s="26"/>
      <c r="E149" s="26"/>
      <c r="F149" s="27"/>
      <c r="I149" s="28"/>
      <c r="K149" s="27"/>
      <c r="O149" s="27"/>
    </row>
    <row r="150">
      <c r="B150" s="25"/>
      <c r="C150" s="25"/>
      <c r="D150" s="26"/>
      <c r="E150" s="26"/>
      <c r="F150" s="27"/>
      <c r="I150" s="28"/>
      <c r="K150" s="27"/>
      <c r="O150" s="27"/>
    </row>
    <row r="151">
      <c r="B151" s="25"/>
      <c r="C151" s="25"/>
      <c r="D151" s="26"/>
      <c r="E151" s="26"/>
      <c r="F151" s="27"/>
      <c r="I151" s="28"/>
      <c r="K151" s="27"/>
      <c r="O151" s="27"/>
    </row>
    <row r="152">
      <c r="B152" s="25"/>
      <c r="C152" s="25"/>
      <c r="D152" s="26"/>
      <c r="E152" s="26"/>
      <c r="F152" s="27"/>
      <c r="I152" s="28"/>
      <c r="K152" s="27"/>
      <c r="O152" s="27"/>
    </row>
    <row r="153">
      <c r="B153" s="25"/>
      <c r="C153" s="25"/>
      <c r="D153" s="26"/>
      <c r="E153" s="26"/>
      <c r="F153" s="27"/>
      <c r="I153" s="28"/>
      <c r="K153" s="27"/>
      <c r="O153" s="27"/>
    </row>
    <row r="154">
      <c r="B154" s="25"/>
      <c r="C154" s="25"/>
      <c r="D154" s="26"/>
      <c r="E154" s="26"/>
      <c r="F154" s="27"/>
      <c r="I154" s="28"/>
      <c r="K154" s="27"/>
      <c r="O154" s="27"/>
    </row>
    <row r="155">
      <c r="B155" s="25"/>
      <c r="C155" s="25"/>
      <c r="D155" s="26"/>
      <c r="E155" s="26"/>
      <c r="F155" s="27"/>
      <c r="I155" s="28"/>
      <c r="K155" s="27"/>
      <c r="O155" s="27"/>
    </row>
    <row r="156">
      <c r="B156" s="25"/>
      <c r="C156" s="25"/>
      <c r="D156" s="26"/>
      <c r="E156" s="26"/>
      <c r="F156" s="27"/>
      <c r="I156" s="28"/>
      <c r="K156" s="27"/>
      <c r="O156" s="27"/>
    </row>
    <row r="157">
      <c r="B157" s="25"/>
      <c r="C157" s="25"/>
      <c r="D157" s="26"/>
      <c r="E157" s="26"/>
      <c r="F157" s="27"/>
      <c r="I157" s="28"/>
      <c r="K157" s="27"/>
      <c r="O157" s="27"/>
    </row>
    <row r="158">
      <c r="B158" s="25"/>
      <c r="C158" s="25"/>
      <c r="D158" s="26"/>
      <c r="E158" s="26"/>
      <c r="F158" s="27"/>
      <c r="I158" s="28"/>
      <c r="K158" s="27"/>
      <c r="O158" s="27"/>
    </row>
    <row r="159">
      <c r="B159" s="25"/>
      <c r="C159" s="25"/>
      <c r="D159" s="26"/>
      <c r="E159" s="26"/>
      <c r="F159" s="27"/>
      <c r="I159" s="28"/>
      <c r="K159" s="27"/>
      <c r="O159" s="27"/>
    </row>
    <row r="160">
      <c r="B160" s="25"/>
      <c r="C160" s="25"/>
      <c r="D160" s="26"/>
      <c r="E160" s="26"/>
      <c r="F160" s="27"/>
      <c r="I160" s="28"/>
      <c r="K160" s="27"/>
      <c r="O160" s="27"/>
    </row>
    <row r="161">
      <c r="B161" s="25"/>
      <c r="C161" s="25"/>
      <c r="D161" s="26"/>
      <c r="E161" s="26"/>
      <c r="F161" s="27"/>
      <c r="I161" s="28"/>
      <c r="K161" s="27"/>
      <c r="O161" s="27"/>
    </row>
    <row r="162">
      <c r="B162" s="25"/>
      <c r="C162" s="25"/>
      <c r="D162" s="26"/>
      <c r="E162" s="26"/>
      <c r="F162" s="27"/>
      <c r="I162" s="28"/>
      <c r="K162" s="27"/>
      <c r="O162" s="27"/>
    </row>
    <row r="163">
      <c r="B163" s="25"/>
      <c r="C163" s="25"/>
      <c r="D163" s="26"/>
      <c r="E163" s="26"/>
      <c r="F163" s="27"/>
      <c r="I163" s="28"/>
      <c r="K163" s="27"/>
      <c r="O163" s="27"/>
    </row>
    <row r="164">
      <c r="B164" s="25"/>
      <c r="C164" s="25"/>
      <c r="D164" s="26"/>
      <c r="E164" s="26"/>
      <c r="F164" s="27"/>
      <c r="I164" s="28"/>
      <c r="K164" s="27"/>
      <c r="O164" s="27"/>
    </row>
    <row r="165">
      <c r="B165" s="25"/>
      <c r="C165" s="25"/>
      <c r="D165" s="26"/>
      <c r="E165" s="26"/>
      <c r="F165" s="27"/>
      <c r="I165" s="28"/>
      <c r="K165" s="27"/>
      <c r="O165" s="27"/>
    </row>
    <row r="166">
      <c r="B166" s="25"/>
      <c r="C166" s="25"/>
      <c r="D166" s="26"/>
      <c r="E166" s="26"/>
      <c r="F166" s="27"/>
      <c r="I166" s="28"/>
      <c r="K166" s="27"/>
      <c r="O166" s="27"/>
    </row>
    <row r="167">
      <c r="B167" s="25"/>
      <c r="C167" s="25"/>
      <c r="D167" s="26"/>
      <c r="E167" s="26"/>
      <c r="F167" s="27"/>
      <c r="I167" s="28"/>
      <c r="K167" s="27"/>
      <c r="O167" s="27"/>
    </row>
    <row r="168">
      <c r="B168" s="25"/>
      <c r="C168" s="25"/>
      <c r="D168" s="26"/>
      <c r="E168" s="26"/>
      <c r="F168" s="27"/>
      <c r="I168" s="28"/>
      <c r="K168" s="27"/>
      <c r="O168" s="27"/>
    </row>
    <row r="169">
      <c r="B169" s="25"/>
      <c r="C169" s="25"/>
      <c r="D169" s="26"/>
      <c r="E169" s="26"/>
      <c r="F169" s="27"/>
      <c r="I169" s="28"/>
      <c r="K169" s="27"/>
      <c r="O169" s="27"/>
    </row>
    <row r="170">
      <c r="B170" s="25"/>
      <c r="C170" s="25"/>
      <c r="D170" s="26"/>
      <c r="E170" s="26"/>
      <c r="F170" s="27"/>
      <c r="I170" s="28"/>
      <c r="K170" s="27"/>
      <c r="O170" s="27"/>
    </row>
    <row r="171">
      <c r="B171" s="25"/>
      <c r="C171" s="25"/>
      <c r="D171" s="26"/>
      <c r="E171" s="26"/>
      <c r="F171" s="27"/>
      <c r="I171" s="28"/>
      <c r="K171" s="27"/>
      <c r="O171" s="27"/>
    </row>
    <row r="172">
      <c r="B172" s="25"/>
      <c r="C172" s="25"/>
      <c r="D172" s="26"/>
      <c r="E172" s="26"/>
      <c r="F172" s="27"/>
      <c r="I172" s="28"/>
      <c r="K172" s="27"/>
      <c r="O172" s="27"/>
    </row>
    <row r="173">
      <c r="B173" s="25"/>
      <c r="C173" s="25"/>
      <c r="D173" s="26"/>
      <c r="E173" s="26"/>
      <c r="F173" s="27"/>
      <c r="I173" s="28"/>
      <c r="K173" s="27"/>
      <c r="O173" s="27"/>
    </row>
    <row r="174">
      <c r="B174" s="25"/>
      <c r="C174" s="25"/>
      <c r="D174" s="26"/>
      <c r="E174" s="26"/>
      <c r="F174" s="27"/>
      <c r="I174" s="28"/>
      <c r="K174" s="27"/>
      <c r="O174" s="27"/>
    </row>
    <row r="175">
      <c r="B175" s="25"/>
      <c r="C175" s="25"/>
      <c r="D175" s="26"/>
      <c r="E175" s="26"/>
      <c r="F175" s="27"/>
      <c r="I175" s="28"/>
      <c r="K175" s="27"/>
      <c r="O175" s="27"/>
    </row>
    <row r="176">
      <c r="B176" s="25"/>
      <c r="C176" s="25"/>
      <c r="D176" s="26"/>
      <c r="E176" s="26"/>
      <c r="F176" s="27"/>
      <c r="I176" s="28"/>
      <c r="K176" s="27"/>
      <c r="O176" s="27"/>
    </row>
    <row r="177">
      <c r="B177" s="25"/>
      <c r="C177" s="25"/>
      <c r="D177" s="26"/>
      <c r="E177" s="26"/>
      <c r="F177" s="27"/>
      <c r="I177" s="28"/>
      <c r="K177" s="27"/>
      <c r="O177" s="27"/>
    </row>
    <row r="178">
      <c r="B178" s="25"/>
      <c r="C178" s="25"/>
      <c r="D178" s="26"/>
      <c r="E178" s="26"/>
      <c r="F178" s="27"/>
      <c r="I178" s="28"/>
      <c r="K178" s="27"/>
      <c r="O178" s="27"/>
    </row>
    <row r="179">
      <c r="B179" s="25"/>
      <c r="C179" s="25"/>
      <c r="D179" s="26"/>
      <c r="E179" s="26"/>
      <c r="F179" s="27"/>
      <c r="I179" s="28"/>
      <c r="K179" s="27"/>
      <c r="O179" s="27"/>
    </row>
    <row r="180">
      <c r="B180" s="25"/>
      <c r="C180" s="25"/>
      <c r="D180" s="26"/>
      <c r="E180" s="26"/>
      <c r="F180" s="27"/>
      <c r="I180" s="28"/>
      <c r="K180" s="27"/>
      <c r="O180" s="27"/>
    </row>
    <row r="181">
      <c r="B181" s="25"/>
      <c r="C181" s="25"/>
      <c r="D181" s="26"/>
      <c r="E181" s="26"/>
      <c r="F181" s="27"/>
      <c r="I181" s="28"/>
      <c r="K181" s="27"/>
      <c r="O181" s="27"/>
    </row>
    <row r="182">
      <c r="B182" s="25"/>
      <c r="C182" s="25"/>
      <c r="D182" s="26"/>
      <c r="E182" s="26"/>
      <c r="F182" s="27"/>
      <c r="I182" s="28"/>
      <c r="K182" s="27"/>
      <c r="O182" s="27"/>
    </row>
    <row r="183">
      <c r="B183" s="25"/>
      <c r="C183" s="25"/>
      <c r="D183" s="26"/>
      <c r="E183" s="26"/>
      <c r="F183" s="27"/>
      <c r="I183" s="28"/>
      <c r="K183" s="27"/>
      <c r="O183" s="27"/>
    </row>
    <row r="184">
      <c r="B184" s="25"/>
      <c r="C184" s="25"/>
      <c r="D184" s="26"/>
      <c r="E184" s="26"/>
      <c r="F184" s="27"/>
      <c r="I184" s="28"/>
      <c r="K184" s="27"/>
      <c r="O184" s="27"/>
    </row>
    <row r="185">
      <c r="B185" s="25"/>
      <c r="C185" s="25"/>
      <c r="D185" s="26"/>
      <c r="E185" s="26"/>
      <c r="F185" s="27"/>
      <c r="I185" s="28"/>
      <c r="K185" s="27"/>
      <c r="O185" s="27"/>
    </row>
    <row r="186">
      <c r="B186" s="25"/>
      <c r="C186" s="25"/>
      <c r="D186" s="26"/>
      <c r="E186" s="26"/>
      <c r="F186" s="27"/>
      <c r="I186" s="28"/>
      <c r="K186" s="27"/>
      <c r="O186" s="27"/>
    </row>
    <row r="187">
      <c r="B187" s="25"/>
      <c r="C187" s="25"/>
      <c r="D187" s="26"/>
      <c r="E187" s="26"/>
      <c r="F187" s="27"/>
      <c r="I187" s="28"/>
      <c r="K187" s="27"/>
      <c r="O187" s="27"/>
    </row>
    <row r="188">
      <c r="B188" s="25"/>
      <c r="C188" s="25"/>
      <c r="D188" s="26"/>
      <c r="E188" s="26"/>
      <c r="F188" s="27"/>
      <c r="I188" s="28"/>
      <c r="K188" s="27"/>
      <c r="O188" s="27"/>
    </row>
    <row r="189">
      <c r="B189" s="25"/>
      <c r="C189" s="25"/>
      <c r="D189" s="26"/>
      <c r="E189" s="26"/>
      <c r="F189" s="27"/>
      <c r="I189" s="28"/>
      <c r="K189" s="27"/>
      <c r="O189" s="27"/>
    </row>
    <row r="190">
      <c r="B190" s="25"/>
      <c r="C190" s="25"/>
      <c r="D190" s="26"/>
      <c r="E190" s="26"/>
      <c r="F190" s="27"/>
      <c r="I190" s="28"/>
      <c r="K190" s="27"/>
      <c r="O190" s="27"/>
    </row>
    <row r="191">
      <c r="B191" s="25"/>
      <c r="C191" s="25"/>
      <c r="D191" s="26"/>
      <c r="E191" s="26"/>
      <c r="F191" s="27"/>
      <c r="I191" s="28"/>
      <c r="K191" s="27"/>
      <c r="O191" s="27"/>
    </row>
    <row r="192">
      <c r="B192" s="25"/>
      <c r="C192" s="25"/>
      <c r="D192" s="26"/>
      <c r="E192" s="26"/>
      <c r="F192" s="27"/>
      <c r="I192" s="28"/>
      <c r="K192" s="27"/>
      <c r="O192" s="27"/>
    </row>
    <row r="193">
      <c r="B193" s="25"/>
      <c r="C193" s="25"/>
      <c r="D193" s="26"/>
      <c r="E193" s="26"/>
      <c r="F193" s="27"/>
      <c r="I193" s="28"/>
      <c r="K193" s="27"/>
      <c r="O193" s="27"/>
    </row>
    <row r="194">
      <c r="B194" s="25"/>
      <c r="C194" s="25"/>
      <c r="D194" s="26"/>
      <c r="E194" s="26"/>
      <c r="F194" s="27"/>
      <c r="I194" s="28"/>
      <c r="K194" s="27"/>
      <c r="O194" s="27"/>
    </row>
    <row r="195">
      <c r="B195" s="25"/>
      <c r="C195" s="25"/>
      <c r="D195" s="26"/>
      <c r="E195" s="26"/>
      <c r="F195" s="27"/>
      <c r="I195" s="28"/>
      <c r="K195" s="27"/>
      <c r="O195" s="27"/>
    </row>
    <row r="196">
      <c r="B196" s="25"/>
      <c r="C196" s="25"/>
      <c r="D196" s="26"/>
      <c r="E196" s="26"/>
      <c r="F196" s="27"/>
      <c r="I196" s="28"/>
      <c r="K196" s="27"/>
      <c r="O196" s="27"/>
    </row>
    <row r="197">
      <c r="B197" s="25"/>
      <c r="C197" s="25"/>
      <c r="D197" s="26"/>
      <c r="E197" s="26"/>
      <c r="F197" s="27"/>
      <c r="I197" s="28"/>
      <c r="K197" s="27"/>
      <c r="O197" s="27"/>
    </row>
    <row r="198">
      <c r="B198" s="25"/>
      <c r="C198" s="25"/>
      <c r="D198" s="26"/>
      <c r="E198" s="26"/>
      <c r="F198" s="27"/>
      <c r="I198" s="28"/>
      <c r="K198" s="27"/>
      <c r="O198" s="27"/>
    </row>
    <row r="199">
      <c r="B199" s="25"/>
      <c r="C199" s="25"/>
      <c r="D199" s="26"/>
      <c r="E199" s="26"/>
      <c r="F199" s="27"/>
      <c r="I199" s="28"/>
      <c r="K199" s="27"/>
      <c r="O199" s="27"/>
    </row>
    <row r="200">
      <c r="B200" s="25"/>
      <c r="C200" s="25"/>
      <c r="D200" s="26"/>
      <c r="E200" s="26"/>
      <c r="F200" s="27"/>
      <c r="I200" s="28"/>
      <c r="K200" s="27"/>
      <c r="O200" s="27"/>
    </row>
    <row r="201">
      <c r="B201" s="25"/>
      <c r="C201" s="25"/>
      <c r="D201" s="26"/>
      <c r="E201" s="26"/>
      <c r="F201" s="27"/>
      <c r="I201" s="28"/>
      <c r="K201" s="27"/>
      <c r="O201" s="27"/>
    </row>
    <row r="202">
      <c r="B202" s="25"/>
      <c r="C202" s="25"/>
      <c r="D202" s="26"/>
      <c r="E202" s="26"/>
      <c r="F202" s="27"/>
      <c r="I202" s="28"/>
      <c r="K202" s="27"/>
      <c r="O202" s="27"/>
    </row>
    <row r="203">
      <c r="B203" s="25"/>
      <c r="C203" s="25"/>
      <c r="D203" s="26"/>
      <c r="E203" s="26"/>
      <c r="F203" s="27"/>
      <c r="I203" s="28"/>
      <c r="K203" s="27"/>
      <c r="O203" s="27"/>
    </row>
    <row r="204">
      <c r="B204" s="25"/>
      <c r="C204" s="25"/>
      <c r="D204" s="26"/>
      <c r="E204" s="26"/>
      <c r="F204" s="27"/>
      <c r="I204" s="28"/>
      <c r="K204" s="27"/>
      <c r="O204" s="27"/>
    </row>
    <row r="205">
      <c r="B205" s="25"/>
      <c r="C205" s="25"/>
      <c r="D205" s="26"/>
      <c r="E205" s="26"/>
      <c r="F205" s="27"/>
      <c r="I205" s="28"/>
      <c r="K205" s="27"/>
      <c r="O205" s="27"/>
    </row>
    <row r="206">
      <c r="B206" s="25"/>
      <c r="C206" s="25"/>
      <c r="D206" s="26"/>
      <c r="E206" s="26"/>
      <c r="F206" s="27"/>
      <c r="I206" s="28"/>
      <c r="K206" s="27"/>
      <c r="O206" s="27"/>
    </row>
    <row r="207">
      <c r="B207" s="25"/>
      <c r="C207" s="25"/>
      <c r="D207" s="26"/>
      <c r="E207" s="26"/>
      <c r="F207" s="27"/>
      <c r="I207" s="28"/>
      <c r="K207" s="27"/>
      <c r="O207" s="27"/>
    </row>
    <row r="208">
      <c r="B208" s="25"/>
      <c r="C208" s="25"/>
      <c r="D208" s="26"/>
      <c r="E208" s="26"/>
      <c r="F208" s="27"/>
      <c r="I208" s="28"/>
      <c r="K208" s="27"/>
      <c r="O208" s="27"/>
    </row>
    <row r="209">
      <c r="B209" s="25"/>
      <c r="C209" s="25"/>
      <c r="D209" s="26"/>
      <c r="E209" s="26"/>
      <c r="F209" s="27"/>
      <c r="I209" s="28"/>
      <c r="K209" s="27"/>
      <c r="O209" s="27"/>
    </row>
    <row r="210">
      <c r="B210" s="25"/>
      <c r="C210" s="25"/>
      <c r="D210" s="26"/>
      <c r="E210" s="26"/>
      <c r="F210" s="27"/>
      <c r="I210" s="28"/>
      <c r="K210" s="27"/>
      <c r="O210" s="27"/>
    </row>
    <row r="211">
      <c r="B211" s="25"/>
      <c r="C211" s="25"/>
      <c r="D211" s="26"/>
      <c r="E211" s="26"/>
      <c r="F211" s="27"/>
      <c r="I211" s="28"/>
      <c r="K211" s="27"/>
      <c r="O211" s="27"/>
    </row>
    <row r="212">
      <c r="B212" s="25"/>
      <c r="C212" s="25"/>
      <c r="D212" s="26"/>
      <c r="E212" s="26"/>
      <c r="F212" s="27"/>
      <c r="I212" s="28"/>
      <c r="K212" s="27"/>
      <c r="O212" s="27"/>
    </row>
    <row r="213">
      <c r="B213" s="25"/>
      <c r="C213" s="25"/>
      <c r="D213" s="26"/>
      <c r="E213" s="26"/>
      <c r="F213" s="27"/>
      <c r="I213" s="28"/>
      <c r="K213" s="27"/>
      <c r="O213" s="27"/>
    </row>
    <row r="214">
      <c r="B214" s="25"/>
      <c r="C214" s="25"/>
      <c r="D214" s="26"/>
      <c r="E214" s="26"/>
      <c r="F214" s="27"/>
      <c r="I214" s="28"/>
      <c r="K214" s="27"/>
      <c r="O214" s="27"/>
    </row>
    <row r="215">
      <c r="B215" s="25"/>
      <c r="C215" s="25"/>
      <c r="D215" s="26"/>
      <c r="E215" s="26"/>
      <c r="F215" s="27"/>
      <c r="I215" s="28"/>
      <c r="K215" s="27"/>
      <c r="O215" s="27"/>
    </row>
    <row r="216">
      <c r="B216" s="25"/>
      <c r="C216" s="25"/>
      <c r="D216" s="26"/>
      <c r="E216" s="26"/>
      <c r="F216" s="27"/>
      <c r="I216" s="28"/>
      <c r="K216" s="27"/>
      <c r="O216" s="27"/>
    </row>
    <row r="217">
      <c r="B217" s="25"/>
      <c r="C217" s="25"/>
      <c r="D217" s="26"/>
      <c r="E217" s="26"/>
      <c r="F217" s="27"/>
      <c r="I217" s="28"/>
      <c r="K217" s="27"/>
      <c r="O217" s="27"/>
    </row>
    <row r="218">
      <c r="B218" s="25"/>
      <c r="C218" s="25"/>
      <c r="D218" s="26"/>
      <c r="E218" s="26"/>
      <c r="F218" s="27"/>
      <c r="I218" s="28"/>
      <c r="K218" s="27"/>
      <c r="O218" s="27"/>
    </row>
    <row r="219">
      <c r="B219" s="25"/>
      <c r="C219" s="25"/>
      <c r="D219" s="26"/>
      <c r="E219" s="26"/>
      <c r="F219" s="27"/>
      <c r="I219" s="28"/>
      <c r="K219" s="27"/>
      <c r="O219" s="27"/>
    </row>
    <row r="220">
      <c r="B220" s="25"/>
      <c r="C220" s="25"/>
      <c r="D220" s="26"/>
      <c r="E220" s="26"/>
      <c r="F220" s="27"/>
      <c r="I220" s="28"/>
      <c r="K220" s="27"/>
      <c r="O220" s="27"/>
    </row>
    <row r="221">
      <c r="B221" s="25"/>
      <c r="C221" s="25"/>
      <c r="D221" s="26"/>
      <c r="E221" s="26"/>
      <c r="F221" s="27"/>
      <c r="I221" s="28"/>
      <c r="K221" s="27"/>
      <c r="O221" s="27"/>
    </row>
    <row r="222">
      <c r="B222" s="25"/>
      <c r="C222" s="25"/>
      <c r="D222" s="26"/>
      <c r="E222" s="26"/>
      <c r="F222" s="27"/>
      <c r="I222" s="28"/>
      <c r="K222" s="27"/>
      <c r="O222" s="27"/>
    </row>
    <row r="223">
      <c r="B223" s="25"/>
      <c r="C223" s="25"/>
      <c r="D223" s="26"/>
      <c r="E223" s="26"/>
      <c r="F223" s="27"/>
      <c r="I223" s="28"/>
      <c r="K223" s="27"/>
      <c r="O223" s="27"/>
    </row>
    <row r="224">
      <c r="B224" s="25"/>
      <c r="C224" s="25"/>
      <c r="D224" s="26"/>
      <c r="E224" s="26"/>
      <c r="F224" s="27"/>
      <c r="I224" s="28"/>
      <c r="K224" s="27"/>
      <c r="O224" s="27"/>
    </row>
    <row r="225">
      <c r="B225" s="25"/>
      <c r="C225" s="25"/>
      <c r="D225" s="26"/>
      <c r="E225" s="26"/>
      <c r="F225" s="27"/>
      <c r="I225" s="28"/>
      <c r="K225" s="27"/>
      <c r="O225" s="27"/>
    </row>
    <row r="226">
      <c r="B226" s="25"/>
      <c r="C226" s="25"/>
      <c r="D226" s="26"/>
      <c r="E226" s="26"/>
      <c r="F226" s="27"/>
      <c r="I226" s="28"/>
      <c r="K226" s="27"/>
      <c r="O226" s="27"/>
    </row>
    <row r="227">
      <c r="B227" s="25"/>
      <c r="C227" s="25"/>
      <c r="D227" s="26"/>
      <c r="E227" s="26"/>
      <c r="F227" s="27"/>
      <c r="I227" s="28"/>
      <c r="K227" s="27"/>
      <c r="O227" s="27"/>
    </row>
    <row r="228">
      <c r="B228" s="25"/>
      <c r="C228" s="25"/>
      <c r="D228" s="26"/>
      <c r="E228" s="26"/>
      <c r="F228" s="27"/>
      <c r="I228" s="28"/>
      <c r="K228" s="27"/>
      <c r="O228" s="27"/>
    </row>
    <row r="229">
      <c r="B229" s="25"/>
      <c r="C229" s="25"/>
      <c r="D229" s="26"/>
      <c r="E229" s="26"/>
      <c r="F229" s="27"/>
      <c r="I229" s="28"/>
      <c r="K229" s="27"/>
      <c r="O229" s="27"/>
    </row>
    <row r="230">
      <c r="B230" s="25"/>
      <c r="C230" s="25"/>
      <c r="D230" s="26"/>
      <c r="E230" s="26"/>
      <c r="F230" s="27"/>
      <c r="I230" s="28"/>
      <c r="K230" s="27"/>
      <c r="O230" s="27"/>
    </row>
  </sheetData>
  <conditionalFormatting sqref="A1:B230">
    <cfRule type="notContainsBlanks" dxfId="5" priority="1">
      <formula>LEN(TRIM(A1))&gt;0</formula>
    </cfRule>
  </conditionalFormatting>
  <dataValidations>
    <dataValidation type="custom" allowBlank="1" showDropDown="1" sqref="B2:B133">
      <formula1>OR(NOT(ISERROR(DATEVALUE(B2))), AND(ISNUMBER(B2), LEFT(CELL("format", B2))="D"))</formula1>
    </dataValidation>
  </dataValidations>
  <drawing r:id="rId2"/>
  <legacyDrawing r:id="rId3"/>
  <tableParts count="1">
    <tablePart r:id="rId5"/>
  </tableParts>
</worksheet>
</file>